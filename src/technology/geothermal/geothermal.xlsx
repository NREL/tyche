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6"/>
  <workbookPr defaultThemeVersion="166925"/>
  <mc:AlternateContent xmlns:mc="http://schemas.openxmlformats.org/markup-compatibility/2006">
    <mc:Choice Requires="x15">
      <x15ac:absPath xmlns:x15ac="http://schemas.microsoft.com/office/spreadsheetml/2010/11/ac" url="/Users/aayad/Work/repos/tyche/src/technology/geothermal/"/>
    </mc:Choice>
  </mc:AlternateContent>
  <xr:revisionPtr revIDLastSave="0" documentId="13_ncr:1_{A70CB16B-8E62-6F4A-A7AE-754F4EA5A8D0}" xr6:coauthVersionLast="47" xr6:coauthVersionMax="47" xr10:uidLastSave="{00000000-0000-0000-0000-000000000000}"/>
  <bookViews>
    <workbookView xWindow="-20580" yWindow="500" windowWidth="20560" windowHeight="21100" activeTab="2" xr2:uid="{277ED3FD-2B20-4A36-BB03-16AF83BDC75C}"/>
  </bookViews>
  <sheets>
    <sheet name="indices" sheetId="1" r:id="rId1"/>
    <sheet name="functions" sheetId="2" r:id="rId2"/>
    <sheet name="designs" sheetId="3" r:id="rId3"/>
    <sheet name="parameters" sheetId="4" r:id="rId4"/>
    <sheet name="ATB_parameters" sheetId="8" r:id="rId5"/>
    <sheet name="parameters_distribution" sheetId="9" r:id="rId6"/>
    <sheet name="results" sheetId="5" r:id="rId7"/>
    <sheet name="tranches" sheetId="6" r:id="rId8"/>
    <sheet name="investments" sheetId="7" r:id="rId9"/>
  </sheets>
  <definedNames>
    <definedName name="_xlnm._FilterDatabase" localSheetId="2" hidden="1">designs!$A$1:$G$460</definedName>
    <definedName name="_xlnm._FilterDatabase" localSheetId="0" hidden="1">indices!$A$1:$F$16</definedName>
    <definedName name="_xlnm._FilterDatabase" localSheetId="3" hidden="1">parameters!$A$1:$G$134</definedName>
    <definedName name="_xlnm._FilterDatabase" localSheetId="7" hidden="1">tranches!$A$1:$C$29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9" l="1"/>
  <c r="G13" i="9" l="1"/>
  <c r="H13" i="9" s="1"/>
  <c r="J13" i="9" s="1"/>
  <c r="F13" i="9"/>
  <c r="G12" i="9"/>
  <c r="H12" i="9" s="1"/>
  <c r="J12" i="9" s="1"/>
  <c r="F12" i="9"/>
  <c r="G11" i="9"/>
  <c r="H11" i="9" s="1"/>
  <c r="J11" i="9" s="1"/>
  <c r="F11" i="9"/>
  <c r="G10" i="9"/>
  <c r="H10" i="9" s="1"/>
  <c r="J10" i="9" s="1"/>
  <c r="F10" i="9"/>
  <c r="G9" i="9"/>
  <c r="H9" i="9" s="1"/>
  <c r="J9" i="9" s="1"/>
  <c r="F9" i="9"/>
  <c r="G8" i="9"/>
  <c r="H8" i="9" s="1"/>
  <c r="J8" i="9" s="1"/>
  <c r="F8" i="9"/>
  <c r="F5" i="9"/>
  <c r="H5" i="9" s="1"/>
  <c r="J5" i="9" s="1"/>
  <c r="G5" i="9"/>
  <c r="F6" i="9"/>
  <c r="G6" i="9"/>
  <c r="H6" i="9"/>
  <c r="J6" i="9"/>
  <c r="F7" i="9"/>
  <c r="G7" i="9"/>
  <c r="H7" i="9"/>
  <c r="J7" i="9"/>
  <c r="F3" i="9"/>
  <c r="H3" i="9" s="1"/>
  <c r="J3" i="9" s="1"/>
  <c r="G3" i="9"/>
  <c r="F4" i="9"/>
  <c r="H4" i="9" s="1"/>
  <c r="J4" i="9" s="1"/>
  <c r="G4" i="9"/>
  <c r="G2" i="9"/>
  <c r="F2" i="9"/>
  <c r="J2" i="9" l="1"/>
</calcChain>
</file>

<file path=xl/sharedStrings.xml><?xml version="1.0" encoding="utf-8"?>
<sst xmlns="http://schemas.openxmlformats.org/spreadsheetml/2006/main" count="566" uniqueCount="101">
  <si>
    <t>Category</t>
  </si>
  <si>
    <t>Tranche</t>
  </si>
  <si>
    <t>Amount</t>
  </si>
  <si>
    <t>Notes</t>
  </si>
  <si>
    <t>Technology</t>
  </si>
  <si>
    <t>Type</t>
  </si>
  <si>
    <t>Index</t>
  </si>
  <si>
    <t>Offset</t>
  </si>
  <si>
    <t>Description</t>
  </si>
  <si>
    <t>Capital</t>
  </si>
  <si>
    <t>Input</t>
  </si>
  <si>
    <t>Output</t>
  </si>
  <si>
    <t>Metric</t>
  </si>
  <si>
    <t>Parameter</t>
  </si>
  <si>
    <t>Value</t>
  </si>
  <si>
    <t>Units</t>
  </si>
  <si>
    <t>Investment</t>
  </si>
  <si>
    <t>Style</t>
  </si>
  <si>
    <t>Model</t>
  </si>
  <si>
    <t>Fixed</t>
  </si>
  <si>
    <t>Production</t>
  </si>
  <si>
    <t>Metrics</t>
  </si>
  <si>
    <t>numpy</t>
  </si>
  <si>
    <t>capital_cost</t>
  </si>
  <si>
    <t>fixed_cost</t>
  </si>
  <si>
    <t>production</t>
  </si>
  <si>
    <t>metrics</t>
  </si>
  <si>
    <t>Variable</t>
  </si>
  <si>
    <t>Cost</t>
  </si>
  <si>
    <t>Output price</t>
  </si>
  <si>
    <t>unitless</t>
  </si>
  <si>
    <t>The Style should always be numpy. Model is the name of the Python file containing the technology model, and Capital, Fixed, Production, and Metrics are the names of the methods inside the technology model file.</t>
  </si>
  <si>
    <t>USD</t>
  </si>
  <si>
    <t>geothermal_model</t>
  </si>
  <si>
    <t>geohydro</t>
  </si>
  <si>
    <t>Electricity</t>
  </si>
  <si>
    <t>LCOE</t>
  </si>
  <si>
    <t>Baseline_conservative</t>
  </si>
  <si>
    <t>Baseline_moderate</t>
  </si>
  <si>
    <t>Baseline_advanced</t>
  </si>
  <si>
    <t>ATB conservative</t>
  </si>
  <si>
    <t>ATB moderate</t>
  </si>
  <si>
    <t>ATB advanced</t>
  </si>
  <si>
    <t>Sensitivity</t>
  </si>
  <si>
    <t>dummy value</t>
  </si>
  <si>
    <t>ptc</t>
  </si>
  <si>
    <t>pff</t>
  </si>
  <si>
    <t>cff</t>
  </si>
  <si>
    <t>crp</t>
  </si>
  <si>
    <t>years</t>
  </si>
  <si>
    <t>Capital Recovery Period</t>
  </si>
  <si>
    <t>PTC tax premiums</t>
  </si>
  <si>
    <t>PFF Tax Credits</t>
  </si>
  <si>
    <t>Construction Finance Factor</t>
  </si>
  <si>
    <t>Power</t>
  </si>
  <si>
    <t>MW</t>
  </si>
  <si>
    <t>ATB 2025 file</t>
  </si>
  <si>
    <t>Site</t>
  </si>
  <si>
    <t>Placeholder</t>
  </si>
  <si>
    <t>Lifetime</t>
  </si>
  <si>
    <t>To Check</t>
  </si>
  <si>
    <t>Input efficiency</t>
  </si>
  <si>
    <t>Scale</t>
  </si>
  <si>
    <t>Output efficiency</t>
  </si>
  <si>
    <t>Input price</t>
  </si>
  <si>
    <t>USD/kWh</t>
  </si>
  <si>
    <t>ATB</t>
  </si>
  <si>
    <t>Sensitivity_conservative</t>
  </si>
  <si>
    <t>Sensitivity_moderate</t>
  </si>
  <si>
    <t>Sensitivity_advanced</t>
  </si>
  <si>
    <t>ATB_conservative_BAU</t>
  </si>
  <si>
    <t>ATB_moderate_BAU</t>
  </si>
  <si>
    <t>ATB_advanced_BAU</t>
  </si>
  <si>
    <t>ATB_conservative_increased</t>
  </si>
  <si>
    <t>ATB_moderate_increased</t>
  </si>
  <si>
    <t>ATB_advanced_increased</t>
  </si>
  <si>
    <t>%</t>
  </si>
  <si>
    <t>ATB value</t>
  </si>
  <si>
    <t>capacity_factor</t>
  </si>
  <si>
    <t>OCC</t>
  </si>
  <si>
    <t>ATB range</t>
  </si>
  <si>
    <t>min (loc)</t>
  </si>
  <si>
    <t>max (loc + scale)</t>
  </si>
  <si>
    <t>peak/most likely (loc + c*scale)</t>
  </si>
  <si>
    <t>loc</t>
  </si>
  <si>
    <t>scale</t>
  </si>
  <si>
    <t>c</t>
  </si>
  <si>
    <t>Distribution Text</t>
  </si>
  <si>
    <t>st.triang(c=0.499999999999999, loc=0.65, scale=0.1)</t>
  </si>
  <si>
    <t>st.triang(c=0.500000000000001, loc=0.85, scale=0.1)</t>
  </si>
  <si>
    <t>st.triang(c=0.499999999999999, loc=0.55, scale=0.1)</t>
  </si>
  <si>
    <t>st.triang(c=0.500000000000001, loc=0.75, scale=0.1)</t>
  </si>
  <si>
    <t>st.triang(c=0.599999999999999, loc=0.92, scale=0.0499999999999999)</t>
  </si>
  <si>
    <t>st.triang(c=0.5, loc=0.45, scale=0.1)</t>
  </si>
  <si>
    <t>st.triang(c=0.444029270732221, loc=3933.191452, scale=2366.206198)</t>
  </si>
  <si>
    <t>st.triang(c=0.322183323193131, loc=3775.66428, scale=2523.73337)</t>
  </si>
  <si>
    <t>st.triang(c=0.289557208384986, loc=3313.616946, scale=2985.780704)</t>
  </si>
  <si>
    <t>st.triang(c=0.5, loc=3933.191452, scale=1050.6648125)</t>
  </si>
  <si>
    <t>st.triang(c=0.500000000000001, loc=3775.66428, scale=813.104804)</t>
  </si>
  <si>
    <t>st.triang(c=0.5, loc=3313.616946, scale=864.554325499999)</t>
  </si>
  <si>
    <t>USD/kW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</si>
</sst>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3D170-DEC1-4938-B961-67DBF048922E}">
  <dimension ref="A1:F6"/>
  <sheetViews>
    <sheetView zoomScale="139" workbookViewId="0">
      <selection activeCell="B6" sqref="B6"/>
    </sheetView>
  </sheetViews>
  <sheetFormatPr baseColWidth="10" defaultColWidth="8.83203125" defaultRowHeight="15" x14ac:dyDescent="0.2"/>
  <cols>
    <col min="1" max="1" width="24.6640625" bestFit="1" customWidth="1"/>
    <col min="2" max="2" width="10.83203125" bestFit="1" customWidth="1"/>
    <col min="3" max="3" width="16.5" bestFit="1" customWidth="1"/>
    <col min="4" max="4" width="6.5" bestFit="1" customWidth="1"/>
    <col min="5" max="5" width="11.1640625" bestFit="1" customWidth="1"/>
    <col min="6" max="6" width="6.33203125" bestFit="1" customWidth="1"/>
  </cols>
  <sheetData>
    <row r="1" spans="1:6" x14ac:dyDescent="0.2">
      <c r="A1" t="s">
        <v>4</v>
      </c>
      <c r="B1" t="s">
        <v>5</v>
      </c>
      <c r="C1" t="s">
        <v>6</v>
      </c>
      <c r="D1" t="s">
        <v>7</v>
      </c>
      <c r="E1" t="s">
        <v>8</v>
      </c>
      <c r="F1" t="s">
        <v>3</v>
      </c>
    </row>
    <row r="2" spans="1:6" x14ac:dyDescent="0.2">
      <c r="A2" t="s">
        <v>34</v>
      </c>
      <c r="B2" t="s">
        <v>9</v>
      </c>
      <c r="C2" t="s">
        <v>57</v>
      </c>
      <c r="D2">
        <v>0</v>
      </c>
      <c r="F2" t="s">
        <v>58</v>
      </c>
    </row>
    <row r="3" spans="1:6" x14ac:dyDescent="0.2">
      <c r="A3" t="s">
        <v>34</v>
      </c>
      <c r="B3" t="s">
        <v>10</v>
      </c>
      <c r="C3" t="s">
        <v>54</v>
      </c>
      <c r="D3">
        <v>0</v>
      </c>
      <c r="F3" t="s">
        <v>58</v>
      </c>
    </row>
    <row r="4" spans="1:6" x14ac:dyDescent="0.2">
      <c r="A4" t="s">
        <v>34</v>
      </c>
      <c r="B4" t="s">
        <v>12</v>
      </c>
      <c r="C4" t="s">
        <v>36</v>
      </c>
      <c r="D4">
        <v>0</v>
      </c>
    </row>
    <row r="5" spans="1:6" x14ac:dyDescent="0.2">
      <c r="A5" t="s">
        <v>34</v>
      </c>
      <c r="B5" t="s">
        <v>12</v>
      </c>
      <c r="C5" t="s">
        <v>79</v>
      </c>
      <c r="D5">
        <v>1</v>
      </c>
    </row>
    <row r="6" spans="1:6" x14ac:dyDescent="0.2">
      <c r="A6" t="s">
        <v>34</v>
      </c>
      <c r="B6" t="s">
        <v>11</v>
      </c>
      <c r="C6" t="s">
        <v>35</v>
      </c>
      <c r="D6">
        <v>0</v>
      </c>
    </row>
  </sheetData>
  <sortState xmlns:xlrd2="http://schemas.microsoft.com/office/spreadsheetml/2017/richdata2" ref="A4:F16">
    <sortCondition ref="A4:A16"/>
    <sortCondition ref="B4:B16"/>
    <sortCondition ref="D4:D16"/>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7C873A-D063-4744-8651-CEF648C63973}">
  <dimension ref="A1:H2"/>
  <sheetViews>
    <sheetView workbookViewId="0">
      <selection activeCell="G2" sqref="G2"/>
    </sheetView>
  </sheetViews>
  <sheetFormatPr baseColWidth="10" defaultColWidth="8.83203125" defaultRowHeight="15" x14ac:dyDescent="0.2"/>
  <cols>
    <col min="1" max="1" width="22" bestFit="1" customWidth="1"/>
    <col min="2" max="2" width="7.1640625" bestFit="1" customWidth="1"/>
    <col min="3" max="3" width="20.5" bestFit="1" customWidth="1"/>
    <col min="4" max="4" width="11.5" bestFit="1" customWidth="1"/>
    <col min="5" max="5" width="10.1640625" bestFit="1" customWidth="1"/>
    <col min="6" max="6" width="10.6640625" bestFit="1" customWidth="1"/>
    <col min="7" max="7" width="7.5" bestFit="1" customWidth="1"/>
    <col min="8" max="8" width="6.33203125" bestFit="1" customWidth="1"/>
  </cols>
  <sheetData>
    <row r="1" spans="1:8" x14ac:dyDescent="0.2">
      <c r="A1" t="s">
        <v>4</v>
      </c>
      <c r="B1" t="s">
        <v>17</v>
      </c>
      <c r="C1" t="s">
        <v>18</v>
      </c>
      <c r="D1" t="s">
        <v>9</v>
      </c>
      <c r="E1" t="s">
        <v>19</v>
      </c>
      <c r="F1" t="s">
        <v>20</v>
      </c>
      <c r="G1" t="s">
        <v>21</v>
      </c>
      <c r="H1" t="s">
        <v>3</v>
      </c>
    </row>
    <row r="2" spans="1:8" x14ac:dyDescent="0.2">
      <c r="A2" t="s">
        <v>34</v>
      </c>
      <c r="B2" t="s">
        <v>22</v>
      </c>
      <c r="C2" t="s">
        <v>33</v>
      </c>
      <c r="D2" t="s">
        <v>23</v>
      </c>
      <c r="E2" t="s">
        <v>24</v>
      </c>
      <c r="F2" t="s">
        <v>25</v>
      </c>
      <c r="G2" t="s">
        <v>26</v>
      </c>
      <c r="H2" t="s">
        <v>31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B20890-62B7-47AF-BA68-650F053D99C5}">
  <dimension ref="A1:G43"/>
  <sheetViews>
    <sheetView tabSelected="1" workbookViewId="0">
      <selection activeCell="C38" sqref="C38"/>
    </sheetView>
  </sheetViews>
  <sheetFormatPr baseColWidth="10" defaultColWidth="8.83203125" defaultRowHeight="15" x14ac:dyDescent="0.2"/>
  <cols>
    <col min="1" max="1" width="24.1640625" bestFit="1" customWidth="1"/>
    <col min="2" max="2" width="33" bestFit="1" customWidth="1"/>
    <col min="3" max="3" width="16.5" bestFit="1" customWidth="1"/>
    <col min="4" max="4" width="14.1640625" bestFit="1" customWidth="1"/>
    <col min="5" max="5" width="38.33203125" bestFit="1" customWidth="1"/>
    <col min="6" max="6" width="15.33203125" bestFit="1" customWidth="1"/>
    <col min="7" max="7" width="45.5" customWidth="1"/>
  </cols>
  <sheetData>
    <row r="1" spans="1:7" x14ac:dyDescent="0.2">
      <c r="A1" t="s">
        <v>4</v>
      </c>
      <c r="B1" t="s">
        <v>1</v>
      </c>
      <c r="C1" t="s">
        <v>27</v>
      </c>
      <c r="D1" t="s">
        <v>6</v>
      </c>
      <c r="E1" t="s">
        <v>14</v>
      </c>
      <c r="F1" t="s">
        <v>15</v>
      </c>
      <c r="G1" t="s">
        <v>3</v>
      </c>
    </row>
    <row r="2" spans="1:7" x14ac:dyDescent="0.2">
      <c r="A2" t="s">
        <v>34</v>
      </c>
      <c r="B2" t="s">
        <v>37</v>
      </c>
      <c r="C2" t="s">
        <v>10</v>
      </c>
      <c r="D2" t="s">
        <v>54</v>
      </c>
      <c r="E2">
        <v>1000</v>
      </c>
      <c r="F2" t="s">
        <v>55</v>
      </c>
      <c r="G2" t="s">
        <v>56</v>
      </c>
    </row>
    <row r="3" spans="1:7" x14ac:dyDescent="0.2">
      <c r="A3" t="s">
        <v>34</v>
      </c>
      <c r="B3" t="s">
        <v>37</v>
      </c>
      <c r="C3" t="s">
        <v>29</v>
      </c>
      <c r="D3" t="s">
        <v>35</v>
      </c>
      <c r="E3">
        <v>1</v>
      </c>
      <c r="F3" t="s">
        <v>44</v>
      </c>
    </row>
    <row r="4" spans="1:7" x14ac:dyDescent="0.2">
      <c r="A4" t="s">
        <v>34</v>
      </c>
      <c r="B4" t="s">
        <v>37</v>
      </c>
      <c r="C4" t="s">
        <v>63</v>
      </c>
      <c r="D4" t="s">
        <v>35</v>
      </c>
      <c r="E4">
        <v>1</v>
      </c>
      <c r="F4" t="s">
        <v>44</v>
      </c>
    </row>
    <row r="5" spans="1:7" x14ac:dyDescent="0.2">
      <c r="A5" t="s">
        <v>34</v>
      </c>
      <c r="B5" t="s">
        <v>37</v>
      </c>
      <c r="C5" t="s">
        <v>59</v>
      </c>
      <c r="D5" t="s">
        <v>57</v>
      </c>
      <c r="E5">
        <v>50</v>
      </c>
      <c r="F5" t="s">
        <v>49</v>
      </c>
      <c r="G5" t="s">
        <v>60</v>
      </c>
    </row>
    <row r="6" spans="1:7" x14ac:dyDescent="0.2">
      <c r="A6" t="s">
        <v>34</v>
      </c>
      <c r="B6" t="s">
        <v>37</v>
      </c>
      <c r="C6" t="s">
        <v>61</v>
      </c>
      <c r="D6" t="s">
        <v>54</v>
      </c>
      <c r="E6">
        <v>0.9</v>
      </c>
      <c r="F6" t="s">
        <v>30</v>
      </c>
    </row>
    <row r="7" spans="1:7" x14ac:dyDescent="0.2">
      <c r="A7" t="s">
        <v>34</v>
      </c>
      <c r="B7" t="s">
        <v>37</v>
      </c>
      <c r="C7" t="s">
        <v>62</v>
      </c>
      <c r="D7" t="s">
        <v>57</v>
      </c>
      <c r="E7">
        <v>1</v>
      </c>
      <c r="F7" t="s">
        <v>44</v>
      </c>
    </row>
    <row r="8" spans="1:7" x14ac:dyDescent="0.2">
      <c r="A8" t="s">
        <v>34</v>
      </c>
      <c r="B8" t="s">
        <v>37</v>
      </c>
      <c r="C8" t="s">
        <v>64</v>
      </c>
      <c r="D8" t="s">
        <v>54</v>
      </c>
      <c r="E8">
        <v>1</v>
      </c>
      <c r="F8" t="s">
        <v>44</v>
      </c>
      <c r="G8" t="s">
        <v>60</v>
      </c>
    </row>
    <row r="9" spans="1:7" x14ac:dyDescent="0.2">
      <c r="A9" t="s">
        <v>34</v>
      </c>
      <c r="B9" t="s">
        <v>38</v>
      </c>
      <c r="C9" t="s">
        <v>10</v>
      </c>
      <c r="D9" t="s">
        <v>54</v>
      </c>
      <c r="E9">
        <v>1000</v>
      </c>
      <c r="F9" t="s">
        <v>55</v>
      </c>
    </row>
    <row r="10" spans="1:7" x14ac:dyDescent="0.2">
      <c r="A10" t="s">
        <v>34</v>
      </c>
      <c r="B10" t="s">
        <v>38</v>
      </c>
      <c r="C10" t="s">
        <v>29</v>
      </c>
      <c r="D10" t="s">
        <v>35</v>
      </c>
      <c r="E10">
        <v>1</v>
      </c>
      <c r="F10" t="s">
        <v>44</v>
      </c>
    </row>
    <row r="11" spans="1:7" x14ac:dyDescent="0.2">
      <c r="A11" t="s">
        <v>34</v>
      </c>
      <c r="B11" t="s">
        <v>38</v>
      </c>
      <c r="C11" t="s">
        <v>63</v>
      </c>
      <c r="D11" t="s">
        <v>35</v>
      </c>
      <c r="E11">
        <v>1</v>
      </c>
      <c r="F11" t="s">
        <v>44</v>
      </c>
    </row>
    <row r="12" spans="1:7" x14ac:dyDescent="0.2">
      <c r="A12" t="s">
        <v>34</v>
      </c>
      <c r="B12" t="s">
        <v>38</v>
      </c>
      <c r="C12" t="s">
        <v>59</v>
      </c>
      <c r="D12" t="s">
        <v>57</v>
      </c>
      <c r="E12">
        <v>50</v>
      </c>
      <c r="F12" t="s">
        <v>49</v>
      </c>
    </row>
    <row r="13" spans="1:7" x14ac:dyDescent="0.2">
      <c r="A13" t="s">
        <v>34</v>
      </c>
      <c r="B13" t="s">
        <v>38</v>
      </c>
      <c r="C13" t="s">
        <v>61</v>
      </c>
      <c r="D13" t="s">
        <v>54</v>
      </c>
      <c r="E13">
        <v>0.9</v>
      </c>
      <c r="F13" t="s">
        <v>30</v>
      </c>
    </row>
    <row r="14" spans="1:7" x14ac:dyDescent="0.2">
      <c r="A14" t="s">
        <v>34</v>
      </c>
      <c r="B14" t="s">
        <v>38</v>
      </c>
      <c r="C14" t="s">
        <v>62</v>
      </c>
      <c r="D14" t="s">
        <v>57</v>
      </c>
      <c r="E14">
        <v>1</v>
      </c>
      <c r="F14" t="s">
        <v>44</v>
      </c>
    </row>
    <row r="15" spans="1:7" x14ac:dyDescent="0.2">
      <c r="A15" t="s">
        <v>34</v>
      </c>
      <c r="B15" t="s">
        <v>38</v>
      </c>
      <c r="C15" t="s">
        <v>64</v>
      </c>
      <c r="D15" t="s">
        <v>54</v>
      </c>
      <c r="E15">
        <v>1</v>
      </c>
      <c r="F15" t="s">
        <v>44</v>
      </c>
    </row>
    <row r="16" spans="1:7" x14ac:dyDescent="0.2">
      <c r="A16" t="s">
        <v>34</v>
      </c>
      <c r="B16" t="s">
        <v>39</v>
      </c>
      <c r="C16" t="s">
        <v>10</v>
      </c>
      <c r="D16" t="s">
        <v>54</v>
      </c>
      <c r="E16">
        <v>1000</v>
      </c>
      <c r="F16" t="s">
        <v>55</v>
      </c>
    </row>
    <row r="17" spans="1:7" x14ac:dyDescent="0.2">
      <c r="A17" t="s">
        <v>34</v>
      </c>
      <c r="B17" t="s">
        <v>39</v>
      </c>
      <c r="C17" t="s">
        <v>29</v>
      </c>
      <c r="D17" t="s">
        <v>35</v>
      </c>
      <c r="E17">
        <v>1</v>
      </c>
      <c r="F17" t="s">
        <v>44</v>
      </c>
    </row>
    <row r="18" spans="1:7" x14ac:dyDescent="0.2">
      <c r="A18" t="s">
        <v>34</v>
      </c>
      <c r="B18" t="s">
        <v>39</v>
      </c>
      <c r="C18" t="s">
        <v>63</v>
      </c>
      <c r="D18" t="s">
        <v>35</v>
      </c>
      <c r="E18">
        <v>1</v>
      </c>
      <c r="F18" t="s">
        <v>44</v>
      </c>
    </row>
    <row r="19" spans="1:7" x14ac:dyDescent="0.2">
      <c r="A19" t="s">
        <v>34</v>
      </c>
      <c r="B19" t="s">
        <v>39</v>
      </c>
      <c r="C19" t="s">
        <v>59</v>
      </c>
      <c r="D19" t="s">
        <v>57</v>
      </c>
      <c r="E19">
        <v>50</v>
      </c>
      <c r="F19" t="s">
        <v>49</v>
      </c>
    </row>
    <row r="20" spans="1:7" x14ac:dyDescent="0.2">
      <c r="A20" t="s">
        <v>34</v>
      </c>
      <c r="B20" t="s">
        <v>39</v>
      </c>
      <c r="C20" t="s">
        <v>61</v>
      </c>
      <c r="D20" t="s">
        <v>54</v>
      </c>
      <c r="E20">
        <v>0.9</v>
      </c>
      <c r="F20" t="s">
        <v>30</v>
      </c>
    </row>
    <row r="21" spans="1:7" x14ac:dyDescent="0.2">
      <c r="A21" t="s">
        <v>34</v>
      </c>
      <c r="B21" t="s">
        <v>39</v>
      </c>
      <c r="C21" t="s">
        <v>62</v>
      </c>
      <c r="D21" t="s">
        <v>57</v>
      </c>
      <c r="E21">
        <v>1</v>
      </c>
      <c r="F21" t="s">
        <v>44</v>
      </c>
    </row>
    <row r="22" spans="1:7" x14ac:dyDescent="0.2">
      <c r="A22" t="s">
        <v>34</v>
      </c>
      <c r="B22" t="s">
        <v>39</v>
      </c>
      <c r="C22" t="s">
        <v>64</v>
      </c>
      <c r="D22" t="s">
        <v>54</v>
      </c>
      <c r="E22">
        <v>1</v>
      </c>
      <c r="F22" t="s">
        <v>44</v>
      </c>
    </row>
    <row r="23" spans="1:7" x14ac:dyDescent="0.2">
      <c r="A23" t="s">
        <v>34</v>
      </c>
      <c r="B23" t="s">
        <v>67</v>
      </c>
      <c r="C23" t="s">
        <v>10</v>
      </c>
      <c r="D23" t="s">
        <v>54</v>
      </c>
      <c r="E23">
        <v>1000</v>
      </c>
      <c r="F23" t="s">
        <v>55</v>
      </c>
      <c r="G23" t="s">
        <v>56</v>
      </c>
    </row>
    <row r="24" spans="1:7" x14ac:dyDescent="0.2">
      <c r="A24" t="s">
        <v>34</v>
      </c>
      <c r="B24" t="s">
        <v>67</v>
      </c>
      <c r="C24" t="s">
        <v>29</v>
      </c>
      <c r="D24" t="s">
        <v>35</v>
      </c>
      <c r="E24">
        <v>1</v>
      </c>
      <c r="F24" t="s">
        <v>44</v>
      </c>
    </row>
    <row r="25" spans="1:7" x14ac:dyDescent="0.2">
      <c r="A25" t="s">
        <v>34</v>
      </c>
      <c r="B25" t="s">
        <v>67</v>
      </c>
      <c r="C25" t="s">
        <v>63</v>
      </c>
      <c r="D25" t="s">
        <v>35</v>
      </c>
      <c r="E25">
        <v>1</v>
      </c>
      <c r="F25" t="s">
        <v>44</v>
      </c>
    </row>
    <row r="26" spans="1:7" x14ac:dyDescent="0.2">
      <c r="A26" t="s">
        <v>34</v>
      </c>
      <c r="B26" t="s">
        <v>67</v>
      </c>
      <c r="C26" t="s">
        <v>59</v>
      </c>
      <c r="D26" t="s">
        <v>57</v>
      </c>
      <c r="E26">
        <v>50</v>
      </c>
      <c r="F26" t="s">
        <v>49</v>
      </c>
      <c r="G26" t="s">
        <v>60</v>
      </c>
    </row>
    <row r="27" spans="1:7" x14ac:dyDescent="0.2">
      <c r="A27" t="s">
        <v>34</v>
      </c>
      <c r="B27" t="s">
        <v>67</v>
      </c>
      <c r="C27" t="s">
        <v>61</v>
      </c>
      <c r="D27" t="s">
        <v>54</v>
      </c>
      <c r="E27">
        <v>0.9</v>
      </c>
      <c r="F27" t="s">
        <v>30</v>
      </c>
    </row>
    <row r="28" spans="1:7" x14ac:dyDescent="0.2">
      <c r="A28" t="s">
        <v>34</v>
      </c>
      <c r="B28" t="s">
        <v>67</v>
      </c>
      <c r="C28" t="s">
        <v>62</v>
      </c>
      <c r="D28" t="s">
        <v>57</v>
      </c>
      <c r="E28">
        <v>1</v>
      </c>
      <c r="F28" t="s">
        <v>44</v>
      </c>
    </row>
    <row r="29" spans="1:7" x14ac:dyDescent="0.2">
      <c r="A29" t="s">
        <v>34</v>
      </c>
      <c r="B29" t="s">
        <v>67</v>
      </c>
      <c r="C29" t="s">
        <v>64</v>
      </c>
      <c r="D29" t="s">
        <v>54</v>
      </c>
      <c r="E29">
        <v>1</v>
      </c>
      <c r="F29" t="s">
        <v>44</v>
      </c>
      <c r="G29" t="s">
        <v>60</v>
      </c>
    </row>
    <row r="30" spans="1:7" x14ac:dyDescent="0.2">
      <c r="A30" t="s">
        <v>34</v>
      </c>
      <c r="B30" t="s">
        <v>68</v>
      </c>
      <c r="C30" t="s">
        <v>10</v>
      </c>
      <c r="D30" t="s">
        <v>54</v>
      </c>
      <c r="E30">
        <v>1000</v>
      </c>
      <c r="F30" t="s">
        <v>55</v>
      </c>
    </row>
    <row r="31" spans="1:7" x14ac:dyDescent="0.2">
      <c r="A31" t="s">
        <v>34</v>
      </c>
      <c r="B31" t="s">
        <v>68</v>
      </c>
      <c r="C31" t="s">
        <v>29</v>
      </c>
      <c r="D31" t="s">
        <v>35</v>
      </c>
      <c r="E31">
        <v>1</v>
      </c>
      <c r="F31" t="s">
        <v>44</v>
      </c>
    </row>
    <row r="32" spans="1:7" x14ac:dyDescent="0.2">
      <c r="A32" t="s">
        <v>34</v>
      </c>
      <c r="B32" t="s">
        <v>68</v>
      </c>
      <c r="C32" t="s">
        <v>63</v>
      </c>
      <c r="D32" t="s">
        <v>35</v>
      </c>
      <c r="E32">
        <v>1</v>
      </c>
      <c r="F32" t="s">
        <v>44</v>
      </c>
    </row>
    <row r="33" spans="1:6" x14ac:dyDescent="0.2">
      <c r="A33" t="s">
        <v>34</v>
      </c>
      <c r="B33" t="s">
        <v>68</v>
      </c>
      <c r="C33" t="s">
        <v>59</v>
      </c>
      <c r="D33" t="s">
        <v>57</v>
      </c>
      <c r="E33">
        <v>50</v>
      </c>
      <c r="F33" t="s">
        <v>49</v>
      </c>
    </row>
    <row r="34" spans="1:6" x14ac:dyDescent="0.2">
      <c r="A34" t="s">
        <v>34</v>
      </c>
      <c r="B34" t="s">
        <v>68</v>
      </c>
      <c r="C34" t="s">
        <v>61</v>
      </c>
      <c r="D34" t="s">
        <v>54</v>
      </c>
      <c r="E34">
        <v>0.9</v>
      </c>
      <c r="F34" t="s">
        <v>30</v>
      </c>
    </row>
    <row r="35" spans="1:6" x14ac:dyDescent="0.2">
      <c r="A35" t="s">
        <v>34</v>
      </c>
      <c r="B35" t="s">
        <v>68</v>
      </c>
      <c r="C35" t="s">
        <v>62</v>
      </c>
      <c r="D35" t="s">
        <v>57</v>
      </c>
      <c r="E35">
        <v>1</v>
      </c>
      <c r="F35" t="s">
        <v>44</v>
      </c>
    </row>
    <row r="36" spans="1:6" x14ac:dyDescent="0.2">
      <c r="A36" t="s">
        <v>34</v>
      </c>
      <c r="B36" t="s">
        <v>68</v>
      </c>
      <c r="C36" t="s">
        <v>64</v>
      </c>
      <c r="D36" t="s">
        <v>54</v>
      </c>
      <c r="E36">
        <v>1</v>
      </c>
      <c r="F36" t="s">
        <v>44</v>
      </c>
    </row>
    <row r="37" spans="1:6" x14ac:dyDescent="0.2">
      <c r="A37" t="s">
        <v>34</v>
      </c>
      <c r="B37" t="s">
        <v>69</v>
      </c>
      <c r="C37" t="s">
        <v>10</v>
      </c>
      <c r="D37" t="s">
        <v>54</v>
      </c>
      <c r="E37">
        <v>1000</v>
      </c>
      <c r="F37" t="s">
        <v>55</v>
      </c>
    </row>
    <row r="38" spans="1:6" x14ac:dyDescent="0.2">
      <c r="A38" t="s">
        <v>34</v>
      </c>
      <c r="B38" t="s">
        <v>69</v>
      </c>
      <c r="C38" t="s">
        <v>29</v>
      </c>
      <c r="D38" t="s">
        <v>35</v>
      </c>
      <c r="E38">
        <v>1</v>
      </c>
      <c r="F38" t="s">
        <v>44</v>
      </c>
    </row>
    <row r="39" spans="1:6" x14ac:dyDescent="0.2">
      <c r="A39" t="s">
        <v>34</v>
      </c>
      <c r="B39" t="s">
        <v>69</v>
      </c>
      <c r="C39" t="s">
        <v>63</v>
      </c>
      <c r="D39" t="s">
        <v>35</v>
      </c>
      <c r="E39">
        <v>1</v>
      </c>
      <c r="F39" t="s">
        <v>44</v>
      </c>
    </row>
    <row r="40" spans="1:6" x14ac:dyDescent="0.2">
      <c r="A40" t="s">
        <v>34</v>
      </c>
      <c r="B40" t="s">
        <v>69</v>
      </c>
      <c r="C40" t="s">
        <v>59</v>
      </c>
      <c r="D40" t="s">
        <v>57</v>
      </c>
      <c r="E40">
        <v>50</v>
      </c>
      <c r="F40" t="s">
        <v>49</v>
      </c>
    </row>
    <row r="41" spans="1:6" x14ac:dyDescent="0.2">
      <c r="A41" t="s">
        <v>34</v>
      </c>
      <c r="B41" t="s">
        <v>69</v>
      </c>
      <c r="C41" t="s">
        <v>61</v>
      </c>
      <c r="D41" t="s">
        <v>54</v>
      </c>
      <c r="E41">
        <v>0.9</v>
      </c>
      <c r="F41" t="s">
        <v>30</v>
      </c>
    </row>
    <row r="42" spans="1:6" x14ac:dyDescent="0.2">
      <c r="A42" t="s">
        <v>34</v>
      </c>
      <c r="B42" t="s">
        <v>69</v>
      </c>
      <c r="C42" t="s">
        <v>62</v>
      </c>
      <c r="D42" t="s">
        <v>57</v>
      </c>
      <c r="E42">
        <v>1</v>
      </c>
      <c r="F42" t="s">
        <v>44</v>
      </c>
    </row>
    <row r="43" spans="1:6" x14ac:dyDescent="0.2">
      <c r="A43" t="s">
        <v>34</v>
      </c>
      <c r="B43" t="s">
        <v>69</v>
      </c>
      <c r="C43" t="s">
        <v>64</v>
      </c>
      <c r="D43" t="s">
        <v>54</v>
      </c>
      <c r="E43">
        <v>1</v>
      </c>
      <c r="F43" t="s">
        <v>44</v>
      </c>
    </row>
  </sheetData>
  <sortState xmlns:xlrd2="http://schemas.microsoft.com/office/spreadsheetml/2017/richdata2" ref="A2:G145">
    <sortCondition ref="B2:B145"/>
    <sortCondition ref="A2:A145"/>
    <sortCondition ref="C2:C145"/>
    <sortCondition ref="D2:D145"/>
  </sortStat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5A35C-8A58-4D70-9436-2E641DE51D25}">
  <dimension ref="A1:G25"/>
  <sheetViews>
    <sheetView zoomScale="84" workbookViewId="0">
      <selection activeCell="C41" sqref="C41"/>
    </sheetView>
  </sheetViews>
  <sheetFormatPr baseColWidth="10" defaultColWidth="8.83203125" defaultRowHeight="15" x14ac:dyDescent="0.2"/>
  <cols>
    <col min="1" max="1" width="25.33203125" bestFit="1" customWidth="1"/>
    <col min="2" max="2" width="33" bestFit="1" customWidth="1"/>
    <col min="3" max="3" width="15.6640625" bestFit="1" customWidth="1"/>
    <col min="4" max="4" width="8.83203125" bestFit="1" customWidth="1"/>
    <col min="5" max="5" width="8.5" bestFit="1" customWidth="1"/>
    <col min="6" max="6" width="18.5" bestFit="1" customWidth="1"/>
    <col min="7" max="7" width="22.83203125" bestFit="1" customWidth="1"/>
  </cols>
  <sheetData>
    <row r="1" spans="1:7" x14ac:dyDescent="0.2">
      <c r="A1" t="s">
        <v>4</v>
      </c>
      <c r="B1" t="s">
        <v>1</v>
      </c>
      <c r="C1" t="s">
        <v>13</v>
      </c>
      <c r="D1" t="s">
        <v>7</v>
      </c>
      <c r="E1" t="s">
        <v>14</v>
      </c>
      <c r="F1" t="s">
        <v>15</v>
      </c>
      <c r="G1" t="s">
        <v>3</v>
      </c>
    </row>
    <row r="2" spans="1:7" x14ac:dyDescent="0.2">
      <c r="A2" t="s">
        <v>34</v>
      </c>
      <c r="B2" t="s">
        <v>37</v>
      </c>
      <c r="C2" t="s">
        <v>45</v>
      </c>
      <c r="D2">
        <v>0</v>
      </c>
      <c r="E2">
        <v>0</v>
      </c>
      <c r="F2" t="s">
        <v>32</v>
      </c>
      <c r="G2" t="s">
        <v>51</v>
      </c>
    </row>
    <row r="3" spans="1:7" x14ac:dyDescent="0.2">
      <c r="A3" t="s">
        <v>34</v>
      </c>
      <c r="B3" t="s">
        <v>37</v>
      </c>
      <c r="C3" t="s">
        <v>46</v>
      </c>
      <c r="D3">
        <v>1</v>
      </c>
      <c r="E3">
        <v>0.59599999999999997</v>
      </c>
      <c r="F3" t="s">
        <v>30</v>
      </c>
      <c r="G3" t="s">
        <v>52</v>
      </c>
    </row>
    <row r="4" spans="1:7" x14ac:dyDescent="0.2">
      <c r="A4" t="s">
        <v>34</v>
      </c>
      <c r="B4" t="s">
        <v>37</v>
      </c>
      <c r="C4" t="s">
        <v>47</v>
      </c>
      <c r="D4">
        <v>2</v>
      </c>
      <c r="E4">
        <v>1.484</v>
      </c>
      <c r="F4" t="s">
        <v>30</v>
      </c>
      <c r="G4" t="s">
        <v>53</v>
      </c>
    </row>
    <row r="5" spans="1:7" x14ac:dyDescent="0.2">
      <c r="A5" t="s">
        <v>34</v>
      </c>
      <c r="B5" t="s">
        <v>37</v>
      </c>
      <c r="C5" t="s">
        <v>48</v>
      </c>
      <c r="D5">
        <v>3</v>
      </c>
      <c r="E5">
        <v>5</v>
      </c>
      <c r="F5" t="s">
        <v>49</v>
      </c>
      <c r="G5" t="s">
        <v>50</v>
      </c>
    </row>
    <row r="6" spans="1:7" x14ac:dyDescent="0.2">
      <c r="A6" t="s">
        <v>34</v>
      </c>
      <c r="B6" t="s">
        <v>38</v>
      </c>
      <c r="C6" t="s">
        <v>45</v>
      </c>
      <c r="D6">
        <v>0</v>
      </c>
      <c r="E6">
        <v>0</v>
      </c>
      <c r="F6" t="s">
        <v>32</v>
      </c>
      <c r="G6" t="s">
        <v>51</v>
      </c>
    </row>
    <row r="7" spans="1:7" x14ac:dyDescent="0.2">
      <c r="A7" t="s">
        <v>34</v>
      </c>
      <c r="B7" t="s">
        <v>38</v>
      </c>
      <c r="C7" t="s">
        <v>46</v>
      </c>
      <c r="D7">
        <v>1</v>
      </c>
      <c r="E7">
        <v>0.59599999999999997</v>
      </c>
      <c r="F7" t="s">
        <v>30</v>
      </c>
      <c r="G7" t="s">
        <v>52</v>
      </c>
    </row>
    <row r="8" spans="1:7" x14ac:dyDescent="0.2">
      <c r="A8" t="s">
        <v>34</v>
      </c>
      <c r="B8" t="s">
        <v>38</v>
      </c>
      <c r="C8" t="s">
        <v>47</v>
      </c>
      <c r="D8">
        <v>2</v>
      </c>
      <c r="E8">
        <v>1.484</v>
      </c>
      <c r="F8" t="s">
        <v>30</v>
      </c>
      <c r="G8" t="s">
        <v>53</v>
      </c>
    </row>
    <row r="9" spans="1:7" x14ac:dyDescent="0.2">
      <c r="A9" t="s">
        <v>34</v>
      </c>
      <c r="B9" t="s">
        <v>38</v>
      </c>
      <c r="C9" t="s">
        <v>48</v>
      </c>
      <c r="D9">
        <v>3</v>
      </c>
      <c r="E9">
        <v>5</v>
      </c>
      <c r="F9" t="s">
        <v>49</v>
      </c>
      <c r="G9" t="s">
        <v>50</v>
      </c>
    </row>
    <row r="10" spans="1:7" x14ac:dyDescent="0.2">
      <c r="A10" t="s">
        <v>34</v>
      </c>
      <c r="B10" t="s">
        <v>39</v>
      </c>
      <c r="C10" t="s">
        <v>45</v>
      </c>
      <c r="D10">
        <v>0</v>
      </c>
      <c r="E10">
        <v>0</v>
      </c>
      <c r="F10" t="s">
        <v>32</v>
      </c>
      <c r="G10" t="s">
        <v>51</v>
      </c>
    </row>
    <row r="11" spans="1:7" x14ac:dyDescent="0.2">
      <c r="A11" t="s">
        <v>34</v>
      </c>
      <c r="B11" t="s">
        <v>39</v>
      </c>
      <c r="C11" t="s">
        <v>46</v>
      </c>
      <c r="D11">
        <v>1</v>
      </c>
      <c r="E11">
        <v>0.59599999999999997</v>
      </c>
      <c r="F11" t="s">
        <v>30</v>
      </c>
      <c r="G11" t="s">
        <v>52</v>
      </c>
    </row>
    <row r="12" spans="1:7" x14ac:dyDescent="0.2">
      <c r="A12" t="s">
        <v>34</v>
      </c>
      <c r="B12" t="s">
        <v>39</v>
      </c>
      <c r="C12" t="s">
        <v>47</v>
      </c>
      <c r="D12">
        <v>2</v>
      </c>
      <c r="E12">
        <v>1.484</v>
      </c>
      <c r="F12" t="s">
        <v>30</v>
      </c>
      <c r="G12" t="s">
        <v>53</v>
      </c>
    </row>
    <row r="13" spans="1:7" x14ac:dyDescent="0.2">
      <c r="A13" t="s">
        <v>34</v>
      </c>
      <c r="B13" t="s">
        <v>39</v>
      </c>
      <c r="C13" t="s">
        <v>48</v>
      </c>
      <c r="D13">
        <v>3</v>
      </c>
      <c r="E13">
        <v>5</v>
      </c>
      <c r="F13" t="s">
        <v>49</v>
      </c>
      <c r="G13" t="s">
        <v>50</v>
      </c>
    </row>
    <row r="14" spans="1:7" x14ac:dyDescent="0.2">
      <c r="A14" t="s">
        <v>34</v>
      </c>
      <c r="B14" t="s">
        <v>67</v>
      </c>
      <c r="C14" t="s">
        <v>45</v>
      </c>
      <c r="D14">
        <v>0</v>
      </c>
      <c r="E14">
        <v>0</v>
      </c>
      <c r="F14" t="s">
        <v>32</v>
      </c>
      <c r="G14" t="s">
        <v>51</v>
      </c>
    </row>
    <row r="15" spans="1:7" x14ac:dyDescent="0.2">
      <c r="A15" t="s">
        <v>34</v>
      </c>
      <c r="B15" t="s">
        <v>67</v>
      </c>
      <c r="C15" t="s">
        <v>46</v>
      </c>
      <c r="D15">
        <v>1</v>
      </c>
      <c r="E15">
        <v>0.59599999999999997</v>
      </c>
      <c r="F15" t="s">
        <v>30</v>
      </c>
      <c r="G15" t="s">
        <v>52</v>
      </c>
    </row>
    <row r="16" spans="1:7" x14ac:dyDescent="0.2">
      <c r="A16" t="s">
        <v>34</v>
      </c>
      <c r="B16" t="s">
        <v>67</v>
      </c>
      <c r="C16" t="s">
        <v>47</v>
      </c>
      <c r="D16">
        <v>2</v>
      </c>
      <c r="E16">
        <v>1.484</v>
      </c>
      <c r="F16" t="s">
        <v>30</v>
      </c>
      <c r="G16" t="s">
        <v>53</v>
      </c>
    </row>
    <row r="17" spans="1:7" x14ac:dyDescent="0.2">
      <c r="A17" t="s">
        <v>34</v>
      </c>
      <c r="B17" t="s">
        <v>67</v>
      </c>
      <c r="C17" t="s">
        <v>48</v>
      </c>
      <c r="D17">
        <v>3</v>
      </c>
      <c r="E17">
        <v>5</v>
      </c>
      <c r="F17" t="s">
        <v>49</v>
      </c>
      <c r="G17" t="s">
        <v>50</v>
      </c>
    </row>
    <row r="18" spans="1:7" x14ac:dyDescent="0.2">
      <c r="A18" t="s">
        <v>34</v>
      </c>
      <c r="B18" t="s">
        <v>68</v>
      </c>
      <c r="C18" t="s">
        <v>45</v>
      </c>
      <c r="D18">
        <v>0</v>
      </c>
      <c r="E18">
        <v>0</v>
      </c>
      <c r="F18" t="s">
        <v>32</v>
      </c>
      <c r="G18" t="s">
        <v>51</v>
      </c>
    </row>
    <row r="19" spans="1:7" x14ac:dyDescent="0.2">
      <c r="A19" t="s">
        <v>34</v>
      </c>
      <c r="B19" t="s">
        <v>68</v>
      </c>
      <c r="C19" t="s">
        <v>46</v>
      </c>
      <c r="D19">
        <v>1</v>
      </c>
      <c r="E19">
        <v>0.59599999999999997</v>
      </c>
      <c r="F19" t="s">
        <v>30</v>
      </c>
      <c r="G19" t="s">
        <v>52</v>
      </c>
    </row>
    <row r="20" spans="1:7" x14ac:dyDescent="0.2">
      <c r="A20" t="s">
        <v>34</v>
      </c>
      <c r="B20" t="s">
        <v>68</v>
      </c>
      <c r="C20" t="s">
        <v>47</v>
      </c>
      <c r="D20">
        <v>2</v>
      </c>
      <c r="E20">
        <v>1.484</v>
      </c>
      <c r="F20" t="s">
        <v>30</v>
      </c>
      <c r="G20" t="s">
        <v>53</v>
      </c>
    </row>
    <row r="21" spans="1:7" x14ac:dyDescent="0.2">
      <c r="A21" t="s">
        <v>34</v>
      </c>
      <c r="B21" t="s">
        <v>68</v>
      </c>
      <c r="C21" t="s">
        <v>48</v>
      </c>
      <c r="D21">
        <v>3</v>
      </c>
      <c r="E21">
        <v>5</v>
      </c>
      <c r="F21" t="s">
        <v>49</v>
      </c>
      <c r="G21" t="s">
        <v>50</v>
      </c>
    </row>
    <row r="22" spans="1:7" x14ac:dyDescent="0.2">
      <c r="A22" t="s">
        <v>34</v>
      </c>
      <c r="B22" t="s">
        <v>69</v>
      </c>
      <c r="C22" t="s">
        <v>45</v>
      </c>
      <c r="D22">
        <v>0</v>
      </c>
      <c r="E22">
        <v>0</v>
      </c>
      <c r="F22" t="s">
        <v>32</v>
      </c>
      <c r="G22" t="s">
        <v>51</v>
      </c>
    </row>
    <row r="23" spans="1:7" x14ac:dyDescent="0.2">
      <c r="A23" t="s">
        <v>34</v>
      </c>
      <c r="B23" t="s">
        <v>69</v>
      </c>
      <c r="C23" t="s">
        <v>46</v>
      </c>
      <c r="D23">
        <v>1</v>
      </c>
      <c r="E23">
        <v>0.59599999999999997</v>
      </c>
      <c r="F23" t="s">
        <v>30</v>
      </c>
      <c r="G23" t="s">
        <v>52</v>
      </c>
    </row>
    <row r="24" spans="1:7" x14ac:dyDescent="0.2">
      <c r="A24" t="s">
        <v>34</v>
      </c>
      <c r="B24" t="s">
        <v>69</v>
      </c>
      <c r="C24" t="s">
        <v>47</v>
      </c>
      <c r="D24">
        <v>2</v>
      </c>
      <c r="E24">
        <v>1.484</v>
      </c>
      <c r="F24" t="s">
        <v>30</v>
      </c>
      <c r="G24" t="s">
        <v>53</v>
      </c>
    </row>
    <row r="25" spans="1:7" x14ac:dyDescent="0.2">
      <c r="A25" t="s">
        <v>34</v>
      </c>
      <c r="B25" t="s">
        <v>69</v>
      </c>
      <c r="C25" t="s">
        <v>48</v>
      </c>
      <c r="D25">
        <v>3</v>
      </c>
      <c r="E25">
        <v>5</v>
      </c>
      <c r="F25" t="s">
        <v>49</v>
      </c>
      <c r="G25" t="s">
        <v>50</v>
      </c>
    </row>
  </sheetData>
  <sortState xmlns:xlrd2="http://schemas.microsoft.com/office/spreadsheetml/2017/richdata2" ref="A2:G134">
    <sortCondition ref="A2:A134"/>
    <sortCondition ref="B2:B134"/>
    <sortCondition ref="D2:D134"/>
  </sortState>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DD306-6D12-D94E-8BD3-B523BC898743}">
  <dimension ref="A1:G24"/>
  <sheetViews>
    <sheetView topLeftCell="A13" zoomScale="150" workbookViewId="0">
      <selection activeCell="C18" sqref="C18"/>
    </sheetView>
  </sheetViews>
  <sheetFormatPr baseColWidth="10" defaultRowHeight="15" x14ac:dyDescent="0.2"/>
  <cols>
    <col min="2" max="2" width="19.5" bestFit="1" customWidth="1"/>
    <col min="3" max="3" width="12.83203125" bestFit="1" customWidth="1"/>
    <col min="5" max="5" width="58.5" bestFit="1" customWidth="1"/>
  </cols>
  <sheetData>
    <row r="1" spans="1:7" x14ac:dyDescent="0.2">
      <c r="A1" s="1" t="s">
        <v>4</v>
      </c>
      <c r="B1" s="1" t="s">
        <v>1</v>
      </c>
      <c r="C1" s="1" t="s">
        <v>13</v>
      </c>
      <c r="D1" s="1" t="s">
        <v>7</v>
      </c>
      <c r="E1" s="1" t="s">
        <v>14</v>
      </c>
      <c r="F1" s="1" t="s">
        <v>15</v>
      </c>
      <c r="G1" s="1" t="s">
        <v>3</v>
      </c>
    </row>
    <row r="2" spans="1:7" x14ac:dyDescent="0.2">
      <c r="A2" s="1" t="s">
        <v>34</v>
      </c>
      <c r="B2" s="1" t="s">
        <v>37</v>
      </c>
      <c r="C2" s="1" t="s">
        <v>78</v>
      </c>
      <c r="D2" s="1">
        <v>4</v>
      </c>
      <c r="E2" s="1" t="s">
        <v>93</v>
      </c>
      <c r="F2" s="1" t="s">
        <v>76</v>
      </c>
      <c r="G2" s="1" t="s">
        <v>77</v>
      </c>
    </row>
    <row r="3" spans="1:7" x14ac:dyDescent="0.2">
      <c r="A3" s="1" t="s">
        <v>34</v>
      </c>
      <c r="B3" s="1" t="s">
        <v>38</v>
      </c>
      <c r="C3" s="1" t="s">
        <v>78</v>
      </c>
      <c r="D3" s="1">
        <v>4</v>
      </c>
      <c r="E3" s="1" t="s">
        <v>88</v>
      </c>
      <c r="F3" s="1" t="s">
        <v>76</v>
      </c>
      <c r="G3" s="1" t="s">
        <v>77</v>
      </c>
    </row>
    <row r="4" spans="1:7" x14ac:dyDescent="0.2">
      <c r="A4" s="1" t="s">
        <v>34</v>
      </c>
      <c r="B4" s="1" t="s">
        <v>39</v>
      </c>
      <c r="C4" s="1" t="s">
        <v>78</v>
      </c>
      <c r="D4" s="1">
        <v>4</v>
      </c>
      <c r="E4" s="1" t="s">
        <v>89</v>
      </c>
      <c r="F4" s="1" t="s">
        <v>76</v>
      </c>
      <c r="G4" s="1" t="s">
        <v>77</v>
      </c>
    </row>
    <row r="5" spans="1:7" x14ac:dyDescent="0.2">
      <c r="A5" s="1" t="s">
        <v>34</v>
      </c>
      <c r="B5" s="1" t="s">
        <v>67</v>
      </c>
      <c r="C5" s="1" t="s">
        <v>78</v>
      </c>
      <c r="D5" s="1">
        <v>4</v>
      </c>
      <c r="E5" s="1" t="s">
        <v>90</v>
      </c>
      <c r="F5" s="1" t="s">
        <v>76</v>
      </c>
      <c r="G5" s="1" t="s">
        <v>77</v>
      </c>
    </row>
    <row r="6" spans="1:7" x14ac:dyDescent="0.2">
      <c r="A6" s="1" t="s">
        <v>34</v>
      </c>
      <c r="B6" s="1" t="s">
        <v>68</v>
      </c>
      <c r="C6" s="1" t="s">
        <v>78</v>
      </c>
      <c r="D6" s="1">
        <v>4</v>
      </c>
      <c r="E6" s="1" t="s">
        <v>91</v>
      </c>
      <c r="F6" s="1" t="s">
        <v>76</v>
      </c>
      <c r="G6" s="1" t="s">
        <v>77</v>
      </c>
    </row>
    <row r="7" spans="1:7" x14ac:dyDescent="0.2">
      <c r="A7" s="1" t="s">
        <v>34</v>
      </c>
      <c r="B7" s="1" t="s">
        <v>69</v>
      </c>
      <c r="C7" s="1" t="s">
        <v>78</v>
      </c>
      <c r="D7" s="1">
        <v>4</v>
      </c>
      <c r="E7" s="1" t="s">
        <v>92</v>
      </c>
      <c r="F7" s="1" t="s">
        <v>76</v>
      </c>
      <c r="G7" s="1" t="s">
        <v>77</v>
      </c>
    </row>
    <row r="8" spans="1:7" x14ac:dyDescent="0.2">
      <c r="A8" s="1" t="s">
        <v>34</v>
      </c>
      <c r="B8" s="1" t="s">
        <v>37</v>
      </c>
      <c r="C8" s="1" t="s">
        <v>79</v>
      </c>
      <c r="D8" s="1">
        <v>5</v>
      </c>
      <c r="E8" t="s">
        <v>94</v>
      </c>
      <c r="F8" s="1" t="s">
        <v>100</v>
      </c>
      <c r="G8" s="1" t="s">
        <v>80</v>
      </c>
    </row>
    <row r="9" spans="1:7" x14ac:dyDescent="0.2">
      <c r="A9" s="1" t="s">
        <v>34</v>
      </c>
      <c r="B9" s="1" t="s">
        <v>38</v>
      </c>
      <c r="C9" s="1" t="s">
        <v>79</v>
      </c>
      <c r="D9" s="1">
        <v>5</v>
      </c>
      <c r="E9" t="s">
        <v>95</v>
      </c>
      <c r="F9" s="1" t="s">
        <v>100</v>
      </c>
      <c r="G9" s="1" t="s">
        <v>77</v>
      </c>
    </row>
    <row r="10" spans="1:7" x14ac:dyDescent="0.2">
      <c r="A10" s="1" t="s">
        <v>34</v>
      </c>
      <c r="B10" s="1" t="s">
        <v>39</v>
      </c>
      <c r="C10" s="1" t="s">
        <v>79</v>
      </c>
      <c r="D10" s="1">
        <v>5</v>
      </c>
      <c r="E10" t="s">
        <v>96</v>
      </c>
      <c r="F10" s="1" t="s">
        <v>100</v>
      </c>
      <c r="G10" s="1" t="s">
        <v>77</v>
      </c>
    </row>
    <row r="11" spans="1:7" x14ac:dyDescent="0.2">
      <c r="A11" s="1" t="s">
        <v>34</v>
      </c>
      <c r="B11" s="1" t="s">
        <v>67</v>
      </c>
      <c r="C11" s="1" t="s">
        <v>79</v>
      </c>
      <c r="D11" s="1">
        <v>5</v>
      </c>
      <c r="E11" t="s">
        <v>97</v>
      </c>
      <c r="F11" s="1" t="s">
        <v>100</v>
      </c>
      <c r="G11" s="1" t="s">
        <v>77</v>
      </c>
    </row>
    <row r="12" spans="1:7" x14ac:dyDescent="0.2">
      <c r="A12" s="1" t="s">
        <v>34</v>
      </c>
      <c r="B12" s="1" t="s">
        <v>68</v>
      </c>
      <c r="C12" s="1" t="s">
        <v>79</v>
      </c>
      <c r="D12" s="1">
        <v>5</v>
      </c>
      <c r="E12" t="s">
        <v>98</v>
      </c>
      <c r="F12" s="1" t="s">
        <v>100</v>
      </c>
      <c r="G12" s="1" t="s">
        <v>77</v>
      </c>
    </row>
    <row r="13" spans="1:7" x14ac:dyDescent="0.2">
      <c r="A13" s="1" t="s">
        <v>34</v>
      </c>
      <c r="B13" s="1" t="s">
        <v>69</v>
      </c>
      <c r="C13" s="1" t="s">
        <v>79</v>
      </c>
      <c r="D13" s="1">
        <v>5</v>
      </c>
      <c r="E13" t="s">
        <v>99</v>
      </c>
      <c r="F13" s="1" t="s">
        <v>100</v>
      </c>
      <c r="G13" s="1" t="s">
        <v>77</v>
      </c>
    </row>
    <row r="14" spans="1:7" x14ac:dyDescent="0.2">
      <c r="A14" s="1"/>
      <c r="B14" s="1"/>
      <c r="C14" s="1"/>
      <c r="D14" s="1"/>
      <c r="E14" s="1"/>
      <c r="F14" s="1"/>
      <c r="G14" s="1"/>
    </row>
    <row r="15" spans="1:7" x14ac:dyDescent="0.2">
      <c r="A15" s="1"/>
      <c r="B15" s="1"/>
      <c r="C15" s="1"/>
      <c r="D15" s="1"/>
      <c r="E15" s="1"/>
      <c r="F15" s="1"/>
      <c r="G15" s="1"/>
    </row>
    <row r="16" spans="1:7" x14ac:dyDescent="0.2">
      <c r="A16" s="1"/>
      <c r="B16" s="1"/>
      <c r="C16" s="1"/>
      <c r="D16" s="1"/>
      <c r="E16" s="1"/>
      <c r="F16" s="1"/>
      <c r="G16" s="1"/>
    </row>
    <row r="17" spans="1:7" x14ac:dyDescent="0.2">
      <c r="A17" s="1"/>
      <c r="B17" s="1"/>
      <c r="C17" s="1"/>
      <c r="D17" s="1"/>
      <c r="E17" s="1"/>
      <c r="F17" s="1"/>
      <c r="G17" s="1"/>
    </row>
    <row r="18" spans="1:7" x14ac:dyDescent="0.2">
      <c r="A18" s="1"/>
      <c r="B18" s="1"/>
      <c r="C18" s="1"/>
      <c r="D18" s="1"/>
      <c r="E18" s="1"/>
      <c r="F18" s="1"/>
      <c r="G18" s="1"/>
    </row>
    <row r="19" spans="1:7" x14ac:dyDescent="0.2">
      <c r="A19" s="1"/>
      <c r="B19" s="1"/>
      <c r="C19" s="1"/>
      <c r="D19" s="1"/>
      <c r="E19" s="1"/>
      <c r="F19" s="1"/>
      <c r="G19" s="1"/>
    </row>
    <row r="20" spans="1:7" x14ac:dyDescent="0.2">
      <c r="A20" s="1"/>
      <c r="B20" s="1"/>
      <c r="C20" s="1"/>
      <c r="D20" s="1"/>
      <c r="E20" s="1"/>
      <c r="F20" s="1"/>
      <c r="G20" s="1"/>
    </row>
    <row r="21" spans="1:7" x14ac:dyDescent="0.2">
      <c r="A21" s="1"/>
      <c r="B21" s="1"/>
      <c r="C21" s="1"/>
      <c r="D21" s="1"/>
      <c r="E21" s="1"/>
      <c r="F21" s="1"/>
      <c r="G21" s="1"/>
    </row>
    <row r="22" spans="1:7" x14ac:dyDescent="0.2">
      <c r="A22" s="1"/>
      <c r="B22" s="1"/>
      <c r="C22" s="1"/>
      <c r="D22" s="1"/>
      <c r="E22" s="1"/>
      <c r="F22" s="1"/>
      <c r="G22" s="1"/>
    </row>
    <row r="23" spans="1:7" x14ac:dyDescent="0.2">
      <c r="A23" s="1"/>
      <c r="B23" s="1"/>
      <c r="C23" s="1"/>
      <c r="D23" s="1"/>
      <c r="E23" s="1"/>
      <c r="F23" s="1"/>
      <c r="G23" s="1"/>
    </row>
    <row r="24" spans="1:7" x14ac:dyDescent="0.2">
      <c r="A24" s="1"/>
      <c r="B24" s="1"/>
      <c r="C24" s="1"/>
      <c r="D24" s="1"/>
      <c r="E24" s="1"/>
      <c r="F24" s="1"/>
      <c r="G24" s="1"/>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554F42-6AD7-924F-805B-D48E0142683F}">
  <dimension ref="A1:J13"/>
  <sheetViews>
    <sheetView zoomScale="117" workbookViewId="0">
      <selection activeCell="E23" sqref="E23"/>
    </sheetView>
  </sheetViews>
  <sheetFormatPr baseColWidth="10" defaultRowHeight="15" x14ac:dyDescent="0.2"/>
  <cols>
    <col min="1" max="1" width="19.5" bestFit="1" customWidth="1"/>
    <col min="2" max="2" width="13.1640625" bestFit="1" customWidth="1"/>
    <col min="4" max="4" width="13.1640625" bestFit="1" customWidth="1"/>
    <col min="5" max="5" width="24.33203125" bestFit="1" customWidth="1"/>
    <col min="10" max="10" width="58.5" bestFit="1" customWidth="1"/>
  </cols>
  <sheetData>
    <row r="1" spans="1:10" x14ac:dyDescent="0.2">
      <c r="A1" t="s">
        <v>1</v>
      </c>
      <c r="B1" s="1" t="s">
        <v>13</v>
      </c>
      <c r="C1" s="1" t="s">
        <v>81</v>
      </c>
      <c r="D1" s="1" t="s">
        <v>82</v>
      </c>
      <c r="E1" s="1" t="s">
        <v>83</v>
      </c>
      <c r="F1" s="1" t="s">
        <v>84</v>
      </c>
      <c r="G1" s="1" t="s">
        <v>85</v>
      </c>
      <c r="H1" s="1" t="s">
        <v>86</v>
      </c>
      <c r="I1" s="1"/>
      <c r="J1" s="1" t="s">
        <v>87</v>
      </c>
    </row>
    <row r="2" spans="1:10" x14ac:dyDescent="0.2">
      <c r="A2" s="1" t="s">
        <v>37</v>
      </c>
      <c r="B2" s="1" t="s">
        <v>79</v>
      </c>
      <c r="C2">
        <v>3933.191452</v>
      </c>
      <c r="D2">
        <v>6299.3976499999999</v>
      </c>
      <c r="E2">
        <v>4983.8562645000002</v>
      </c>
      <c r="F2">
        <f>C2</f>
        <v>3933.191452</v>
      </c>
      <c r="G2">
        <f>D2-C2</f>
        <v>2366.2061979999999</v>
      </c>
      <c r="H2">
        <f>(E2-F2)/G2</f>
        <v>0.44402927073222054</v>
      </c>
      <c r="J2" t="str">
        <f>_xlfn.CONCAT("st.triang(c=",H2,", loc=",F2,", scale=",G2,")")</f>
        <v>st.triang(c=0.444029270732221, loc=3933.191452, scale=2366.206198)</v>
      </c>
    </row>
    <row r="3" spans="1:10" x14ac:dyDescent="0.2">
      <c r="A3" s="1" t="s">
        <v>38</v>
      </c>
      <c r="B3" s="1" t="s">
        <v>79</v>
      </c>
      <c r="C3">
        <v>3775.66428</v>
      </c>
      <c r="D3">
        <v>6299.3976499999999</v>
      </c>
      <c r="E3">
        <v>4588.7690839999996</v>
      </c>
      <c r="F3">
        <f t="shared" ref="F3:F4" si="0">C3</f>
        <v>3775.66428</v>
      </c>
      <c r="G3">
        <f t="shared" ref="G3:G4" si="1">D3-C3</f>
        <v>2523.7333699999999</v>
      </c>
      <c r="H3">
        <f t="shared" ref="H3:H4" si="2">(E3-F3)/G3</f>
        <v>0.32218332319313098</v>
      </c>
      <c r="J3" t="str">
        <f t="shared" ref="J3:J4" si="3">_xlfn.CONCAT("st.triang(c=",H3,", loc=",F3,", scale=",G3,")")</f>
        <v>st.triang(c=0.322183323193131, loc=3775.66428, scale=2523.73337)</v>
      </c>
    </row>
    <row r="4" spans="1:10" x14ac:dyDescent="0.2">
      <c r="A4" s="1" t="s">
        <v>39</v>
      </c>
      <c r="B4" s="1" t="s">
        <v>79</v>
      </c>
      <c r="C4">
        <v>3313.6169460000001</v>
      </c>
      <c r="D4">
        <v>6299.3976499999999</v>
      </c>
      <c r="E4">
        <v>4178.1712714999994</v>
      </c>
      <c r="F4">
        <f t="shared" si="0"/>
        <v>3313.6169460000001</v>
      </c>
      <c r="G4">
        <f t="shared" si="1"/>
        <v>2985.7807039999998</v>
      </c>
      <c r="H4">
        <f t="shared" si="2"/>
        <v>0.28955720838498639</v>
      </c>
      <c r="J4" t="str">
        <f t="shared" si="3"/>
        <v>st.triang(c=0.289557208384986, loc=3313.616946, scale=2985.780704)</v>
      </c>
    </row>
    <row r="5" spans="1:10" x14ac:dyDescent="0.2">
      <c r="A5" s="1" t="s">
        <v>67</v>
      </c>
      <c r="B5" s="1" t="s">
        <v>79</v>
      </c>
      <c r="C5">
        <v>3933.191452</v>
      </c>
      <c r="D5">
        <v>4983.8562645000002</v>
      </c>
      <c r="E5">
        <v>4458.5238582500006</v>
      </c>
      <c r="F5">
        <f>C5</f>
        <v>3933.191452</v>
      </c>
      <c r="G5">
        <f>D5-C5</f>
        <v>1050.6648125000002</v>
      </c>
      <c r="H5">
        <f>(E5-F5)/G5</f>
        <v>0.50000000000000044</v>
      </c>
      <c r="J5" t="str">
        <f>_xlfn.CONCAT("st.triang(c=",H5,", loc=",F5,", scale=",G5,")")</f>
        <v>st.triang(c=0.5, loc=3933.191452, scale=1050.6648125)</v>
      </c>
    </row>
    <row r="6" spans="1:10" x14ac:dyDescent="0.2">
      <c r="A6" s="1" t="s">
        <v>68</v>
      </c>
      <c r="B6" s="1" t="s">
        <v>79</v>
      </c>
      <c r="C6">
        <v>3775.66428</v>
      </c>
      <c r="D6">
        <v>4588.7690839999996</v>
      </c>
      <c r="E6">
        <v>4182.2166820000002</v>
      </c>
      <c r="F6">
        <f t="shared" ref="F6:F13" si="4">C6</f>
        <v>3775.66428</v>
      </c>
      <c r="G6">
        <f t="shared" ref="G6:G13" si="5">D6-C6</f>
        <v>813.1048039999996</v>
      </c>
      <c r="H6">
        <f t="shared" ref="H6:H13" si="6">(E6-F6)/G6</f>
        <v>0.50000000000000056</v>
      </c>
      <c r="J6" t="str">
        <f t="shared" ref="J6:J13" si="7">_xlfn.CONCAT("st.triang(c=",H6,", loc=",F6,", scale=",G6,")")</f>
        <v>st.triang(c=0.500000000000001, loc=3775.66428, scale=813.104804)</v>
      </c>
    </row>
    <row r="7" spans="1:10" x14ac:dyDescent="0.2">
      <c r="A7" s="1" t="s">
        <v>69</v>
      </c>
      <c r="B7" s="1" t="s">
        <v>79</v>
      </c>
      <c r="C7">
        <v>3313.6169460000001</v>
      </c>
      <c r="D7">
        <v>4178.1712714999994</v>
      </c>
      <c r="E7">
        <v>3745.8941087499998</v>
      </c>
      <c r="F7">
        <f t="shared" si="4"/>
        <v>3313.6169460000001</v>
      </c>
      <c r="G7">
        <f t="shared" si="5"/>
        <v>864.55432549999932</v>
      </c>
      <c r="H7">
        <f t="shared" si="6"/>
        <v>0.5</v>
      </c>
      <c r="J7" t="str">
        <f t="shared" si="7"/>
        <v>st.triang(c=0.5, loc=3313.616946, scale=864.554325499999)</v>
      </c>
    </row>
    <row r="8" spans="1:10" x14ac:dyDescent="0.2">
      <c r="A8" s="1" t="s">
        <v>37</v>
      </c>
      <c r="B8" s="1" t="s">
        <v>78</v>
      </c>
      <c r="C8">
        <v>0.45</v>
      </c>
      <c r="D8">
        <v>0.55000000000000004</v>
      </c>
      <c r="E8" s="1">
        <v>0.5</v>
      </c>
      <c r="F8">
        <f t="shared" si="4"/>
        <v>0.45</v>
      </c>
      <c r="G8">
        <f t="shared" si="5"/>
        <v>0.10000000000000003</v>
      </c>
      <c r="H8">
        <f t="shared" si="6"/>
        <v>0.49999999999999972</v>
      </c>
      <c r="J8" t="str">
        <f t="shared" si="7"/>
        <v>st.triang(c=0.5, loc=0.45, scale=0.1)</v>
      </c>
    </row>
    <row r="9" spans="1:10" x14ac:dyDescent="0.2">
      <c r="A9" s="1" t="s">
        <v>38</v>
      </c>
      <c r="B9" s="1" t="s">
        <v>78</v>
      </c>
      <c r="C9">
        <v>0.65</v>
      </c>
      <c r="D9">
        <v>0.75</v>
      </c>
      <c r="E9" s="1">
        <v>0.7</v>
      </c>
      <c r="F9">
        <f t="shared" si="4"/>
        <v>0.65</v>
      </c>
      <c r="G9">
        <f t="shared" si="5"/>
        <v>9.9999999999999978E-2</v>
      </c>
      <c r="H9">
        <f t="shared" si="6"/>
        <v>0.49999999999999944</v>
      </c>
      <c r="J9" t="str">
        <f t="shared" si="7"/>
        <v>st.triang(c=0.499999999999999, loc=0.65, scale=0.1)</v>
      </c>
    </row>
    <row r="10" spans="1:10" x14ac:dyDescent="0.2">
      <c r="A10" s="1" t="s">
        <v>39</v>
      </c>
      <c r="B10" s="1" t="s">
        <v>78</v>
      </c>
      <c r="C10">
        <v>0.85</v>
      </c>
      <c r="D10">
        <v>0.95</v>
      </c>
      <c r="E10" s="1">
        <v>0.9</v>
      </c>
      <c r="F10">
        <f t="shared" si="4"/>
        <v>0.85</v>
      </c>
      <c r="G10">
        <f t="shared" si="5"/>
        <v>9.9999999999999978E-2</v>
      </c>
      <c r="H10">
        <f t="shared" si="6"/>
        <v>0.50000000000000056</v>
      </c>
      <c r="J10" t="str">
        <f t="shared" si="7"/>
        <v>st.triang(c=0.500000000000001, loc=0.85, scale=0.1)</v>
      </c>
    </row>
    <row r="11" spans="1:10" x14ac:dyDescent="0.2">
      <c r="A11" s="1" t="s">
        <v>67</v>
      </c>
      <c r="B11" s="1" t="s">
        <v>78</v>
      </c>
      <c r="C11">
        <v>0.55000000000000004</v>
      </c>
      <c r="D11">
        <v>0.65</v>
      </c>
      <c r="E11" s="1">
        <v>0.6</v>
      </c>
      <c r="F11">
        <f t="shared" si="4"/>
        <v>0.55000000000000004</v>
      </c>
      <c r="G11">
        <f t="shared" si="5"/>
        <v>9.9999999999999978E-2</v>
      </c>
      <c r="H11">
        <f t="shared" si="6"/>
        <v>0.49999999999999944</v>
      </c>
      <c r="J11" t="str">
        <f t="shared" si="7"/>
        <v>st.triang(c=0.499999999999999, loc=0.55, scale=0.1)</v>
      </c>
    </row>
    <row r="12" spans="1:10" x14ac:dyDescent="0.2">
      <c r="A12" s="1" t="s">
        <v>68</v>
      </c>
      <c r="B12" s="1" t="s">
        <v>78</v>
      </c>
      <c r="C12">
        <v>0.75</v>
      </c>
      <c r="D12">
        <v>0.85</v>
      </c>
      <c r="E12" s="1">
        <v>0.8</v>
      </c>
      <c r="F12">
        <f t="shared" si="4"/>
        <v>0.75</v>
      </c>
      <c r="G12">
        <f t="shared" si="5"/>
        <v>9.9999999999999978E-2</v>
      </c>
      <c r="H12">
        <f t="shared" si="6"/>
        <v>0.50000000000000056</v>
      </c>
      <c r="J12" t="str">
        <f t="shared" si="7"/>
        <v>st.triang(c=0.500000000000001, loc=0.75, scale=0.1)</v>
      </c>
    </row>
    <row r="13" spans="1:10" x14ac:dyDescent="0.2">
      <c r="A13" s="1" t="s">
        <v>69</v>
      </c>
      <c r="B13" s="1" t="s">
        <v>78</v>
      </c>
      <c r="C13">
        <v>0.92</v>
      </c>
      <c r="D13">
        <v>0.97</v>
      </c>
      <c r="E13" s="1">
        <v>0.95</v>
      </c>
      <c r="F13">
        <f t="shared" si="4"/>
        <v>0.92</v>
      </c>
      <c r="G13">
        <f t="shared" si="5"/>
        <v>4.9999999999999933E-2</v>
      </c>
      <c r="H13">
        <f t="shared" si="6"/>
        <v>0.59999999999999909</v>
      </c>
      <c r="J13" t="str">
        <f t="shared" si="7"/>
        <v>st.triang(c=0.599999999999999, loc=0.92, scale=0.0499999999999999)</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421A62-7A7F-4754-940E-DE21752714F2}">
  <dimension ref="A1:E5"/>
  <sheetViews>
    <sheetView zoomScale="143" workbookViewId="0">
      <selection activeCell="C19" sqref="C19"/>
    </sheetView>
  </sheetViews>
  <sheetFormatPr baseColWidth="10" defaultColWidth="8.83203125" defaultRowHeight="15" x14ac:dyDescent="0.2"/>
  <cols>
    <col min="1" max="1" width="22.1640625" bestFit="1" customWidth="1"/>
    <col min="2" max="2" width="10.83203125" bestFit="1" customWidth="1"/>
    <col min="3" max="3" width="18.5" bestFit="1" customWidth="1"/>
    <col min="4" max="4" width="28" bestFit="1" customWidth="1"/>
  </cols>
  <sheetData>
    <row r="1" spans="1:5" x14ac:dyDescent="0.2">
      <c r="A1" t="s">
        <v>4</v>
      </c>
      <c r="B1" t="s">
        <v>27</v>
      </c>
      <c r="C1" t="s">
        <v>6</v>
      </c>
      <c r="D1" t="s">
        <v>15</v>
      </c>
      <c r="E1" t="s">
        <v>3</v>
      </c>
    </row>
    <row r="2" spans="1:5" x14ac:dyDescent="0.2">
      <c r="A2" t="s">
        <v>34</v>
      </c>
      <c r="B2" t="s">
        <v>28</v>
      </c>
      <c r="C2" t="s">
        <v>28</v>
      </c>
      <c r="D2" t="s">
        <v>32</v>
      </c>
    </row>
    <row r="3" spans="1:5" x14ac:dyDescent="0.2">
      <c r="A3" t="s">
        <v>34</v>
      </c>
      <c r="B3" t="s">
        <v>12</v>
      </c>
      <c r="C3" t="s">
        <v>79</v>
      </c>
      <c r="D3" t="s">
        <v>100</v>
      </c>
    </row>
    <row r="4" spans="1:5" x14ac:dyDescent="0.2">
      <c r="A4" t="s">
        <v>34</v>
      </c>
      <c r="B4" t="s">
        <v>12</v>
      </c>
      <c r="C4" t="s">
        <v>36</v>
      </c>
      <c r="D4" t="s">
        <v>65</v>
      </c>
    </row>
    <row r="5" spans="1:5" x14ac:dyDescent="0.2">
      <c r="A5" t="s">
        <v>34</v>
      </c>
      <c r="B5" t="s">
        <v>11</v>
      </c>
      <c r="C5" t="s">
        <v>35</v>
      </c>
      <c r="D5" t="s">
        <v>65</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E1871-0EA4-4433-AFC4-28BCC91530B9}">
  <dimension ref="A1:D7"/>
  <sheetViews>
    <sheetView workbookViewId="0">
      <selection activeCell="C18" sqref="C18"/>
    </sheetView>
  </sheetViews>
  <sheetFormatPr baseColWidth="10" defaultColWidth="8.83203125" defaultRowHeight="15" x14ac:dyDescent="0.2"/>
  <cols>
    <col min="1" max="1" width="25.6640625" bestFit="1" customWidth="1"/>
    <col min="2" max="2" width="30.1640625" bestFit="1" customWidth="1"/>
    <col min="3" max="3" width="8.1640625" bestFit="1" customWidth="1"/>
    <col min="4" max="4" width="19.6640625" bestFit="1" customWidth="1"/>
  </cols>
  <sheetData>
    <row r="1" spans="1:4" x14ac:dyDescent="0.2">
      <c r="A1" t="s">
        <v>0</v>
      </c>
      <c r="B1" t="s">
        <v>1</v>
      </c>
      <c r="C1" t="s">
        <v>2</v>
      </c>
      <c r="D1" t="s">
        <v>3</v>
      </c>
    </row>
    <row r="2" spans="1:4" x14ac:dyDescent="0.2">
      <c r="A2" t="s">
        <v>66</v>
      </c>
      <c r="B2" t="s">
        <v>37</v>
      </c>
      <c r="C2">
        <v>10</v>
      </c>
      <c r="D2" t="s">
        <v>40</v>
      </c>
    </row>
    <row r="3" spans="1:4" x14ac:dyDescent="0.2">
      <c r="A3" t="s">
        <v>66</v>
      </c>
      <c r="B3" t="s">
        <v>38</v>
      </c>
      <c r="C3">
        <v>50</v>
      </c>
      <c r="D3" t="s">
        <v>41</v>
      </c>
    </row>
    <row r="4" spans="1:4" x14ac:dyDescent="0.2">
      <c r="A4" t="s">
        <v>66</v>
      </c>
      <c r="B4" t="s">
        <v>39</v>
      </c>
      <c r="C4">
        <v>100</v>
      </c>
      <c r="D4" t="s">
        <v>42</v>
      </c>
    </row>
    <row r="5" spans="1:4" x14ac:dyDescent="0.2">
      <c r="A5" t="s">
        <v>43</v>
      </c>
      <c r="B5" t="s">
        <v>67</v>
      </c>
      <c r="C5">
        <v>15</v>
      </c>
      <c r="D5" t="s">
        <v>40</v>
      </c>
    </row>
    <row r="6" spans="1:4" x14ac:dyDescent="0.2">
      <c r="A6" t="s">
        <v>43</v>
      </c>
      <c r="B6" t="s">
        <v>68</v>
      </c>
      <c r="C6">
        <v>75</v>
      </c>
      <c r="D6" t="s">
        <v>41</v>
      </c>
    </row>
    <row r="7" spans="1:4" x14ac:dyDescent="0.2">
      <c r="A7" t="s">
        <v>43</v>
      </c>
      <c r="B7" t="s">
        <v>69</v>
      </c>
      <c r="C7">
        <v>150</v>
      </c>
      <c r="D7" t="s">
        <v>42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8B56-38BD-4E5D-86D7-782D60429334}">
  <dimension ref="A1:D7"/>
  <sheetViews>
    <sheetView workbookViewId="0">
      <selection activeCell="B23" sqref="B23"/>
    </sheetView>
  </sheetViews>
  <sheetFormatPr baseColWidth="10" defaultColWidth="8.83203125" defaultRowHeight="15" x14ac:dyDescent="0.2"/>
  <cols>
    <col min="1" max="1" width="32.6640625" bestFit="1" customWidth="1"/>
    <col min="2" max="2" width="25.6640625" bestFit="1" customWidth="1"/>
    <col min="3" max="3" width="30.1640625" bestFit="1" customWidth="1"/>
    <col min="4" max="4" width="6.33203125" bestFit="1" customWidth="1"/>
  </cols>
  <sheetData>
    <row r="1" spans="1:4" x14ac:dyDescent="0.2">
      <c r="A1" t="s">
        <v>16</v>
      </c>
      <c r="B1" t="s">
        <v>0</v>
      </c>
      <c r="C1" t="s">
        <v>1</v>
      </c>
      <c r="D1" t="s">
        <v>3</v>
      </c>
    </row>
    <row r="2" spans="1:4" x14ac:dyDescent="0.2">
      <c r="A2" t="s">
        <v>70</v>
      </c>
      <c r="B2" t="s">
        <v>66</v>
      </c>
      <c r="C2" t="s">
        <v>37</v>
      </c>
    </row>
    <row r="3" spans="1:4" x14ac:dyDescent="0.2">
      <c r="A3" t="s">
        <v>71</v>
      </c>
      <c r="B3" t="s">
        <v>66</v>
      </c>
      <c r="C3" t="s">
        <v>38</v>
      </c>
    </row>
    <row r="4" spans="1:4" x14ac:dyDescent="0.2">
      <c r="A4" t="s">
        <v>72</v>
      </c>
      <c r="B4" t="s">
        <v>66</v>
      </c>
      <c r="C4" t="s">
        <v>39</v>
      </c>
    </row>
    <row r="5" spans="1:4" x14ac:dyDescent="0.2">
      <c r="A5" t="s">
        <v>73</v>
      </c>
      <c r="B5" t="s">
        <v>43</v>
      </c>
      <c r="C5" t="s">
        <v>67</v>
      </c>
    </row>
    <row r="6" spans="1:4" x14ac:dyDescent="0.2">
      <c r="A6" t="s">
        <v>74</v>
      </c>
      <c r="B6" t="s">
        <v>43</v>
      </c>
      <c r="C6" t="s">
        <v>68</v>
      </c>
    </row>
    <row r="7" spans="1:4" x14ac:dyDescent="0.2">
      <c r="A7" t="s">
        <v>75</v>
      </c>
      <c r="B7" t="s">
        <v>43</v>
      </c>
      <c r="C7" t="s">
        <v>69</v>
      </c>
    </row>
  </sheetData>
  <pageMargins left="0.7" right="0.7" top="0.75" bottom="0.75" header="0.3" footer="0.3"/>
</worksheet>
</file>

<file path=docMetadata/LabelInfo.xml><?xml version="1.0" encoding="utf-8"?>
<clbl:labelList xmlns:clbl="http://schemas.microsoft.com/office/2020/mipLabelMetadata">
  <clbl:label id="{95965d95-ecc0-4720-b759-1f33c42ed7da}" enabled="1" method="Standard" siteId="{a0f29d7e-28cd-4f54-8442-7885aee7c080}"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indices</vt:lpstr>
      <vt:lpstr>functions</vt:lpstr>
      <vt:lpstr>designs</vt:lpstr>
      <vt:lpstr>parameters</vt:lpstr>
      <vt:lpstr>ATB_parameters</vt:lpstr>
      <vt:lpstr>parameters_distribution</vt:lpstr>
      <vt:lpstr>results</vt:lpstr>
      <vt:lpstr>tranches</vt:lpstr>
      <vt:lpstr>investments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Rebecca Hanes</dc:creator>
  <cp:lastModifiedBy>Ayad, Abdelrahman</cp:lastModifiedBy>
  <dcterms:created xsi:type="dcterms:W3CDTF">2022-10-04T23:31:09Z</dcterms:created>
  <dcterms:modified xsi:type="dcterms:W3CDTF">2025-11-24T16:58:31Z</dcterms:modified>
</cp:coreProperties>
</file>