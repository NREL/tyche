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C8CC9164-BF00-4468-834E-1AB2E91DAE27}" xr6:coauthVersionLast="47" xr6:coauthVersionMax="47" xr10:uidLastSave="{00000000-0000-0000-0000-000000000000}"/>
  <bookViews>
    <workbookView xWindow="20610" yWindow="975" windowWidth="28185" windowHeight="19515" tabRatio="778" activeTab="4"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designs!$A$1:$G$911</definedName>
    <definedName name="_xlnm._FilterDatabase" localSheetId="0" hidden="1">indices!$A$1:$F$25</definedName>
    <definedName name="_xlnm._FilterDatabase" localSheetId="4" hidden="1">parameters!$A$1:$G$217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<sst xmlns="http://schemas.openxmlformats.org/spreadsheetml/2006/main" count="1624" uniqueCount="152">
  <si>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</si>
  <si>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</si>
  <si>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</si>
  <si>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</si>
  <si>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</si>
  <si>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</si>
  <si>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</si>
  <si>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</si>
  <si>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</si>
  <si>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</si>
  <si>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</si>
  <si>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</si>
  <si>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</si>
  <si>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</si>
  <si>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</si>
  <si>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</si>
  <si>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</si>
  <si>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</si>
  <si>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</si>
  <si>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</si>
  <si>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</si>
  <si>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</si>
  <si>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</si>
  <si>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</si>
  <si>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</si>
  <si>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</si>
  <si>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</si>
  <si>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</si>
  <si>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</si>
  <si>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</si>
  <si>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</si>
  <si>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</si>
  <si>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</si>
  <si>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</si>
  <si>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</si>
  <si>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</si>
  <si>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</si>
  <si>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</si>
  <si>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</si>
  <si>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</si>
  <si>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</si>
  <si>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</si>
  <si>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</si>
  <si>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</si>
  <si>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</si>
  <si>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</si>
  <si>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</si>
  <si>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</si>
  <si>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</si>
  <si>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</si>
  <si>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</si>
  <si>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</si>
  <si>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</si>
  <si>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</si>
  <si>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</si>
  <si>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</si>
  <si>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</si>
  <si>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</si>
  <si>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</si>
  <si>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</si>
  <si>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</si>
  <si>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</si>
  <si>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</si>
  <si>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</si>
  <si>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</si>
  <si>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</si>
  <si>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</si>
  <si>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</si>
  <si>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</si>
  <si>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</si>
  <si>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</si>
  <si>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</si>
  <si>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</si>
  <si>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</si>
  <si>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</si>
  <si>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</si>
  <si>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</si>
  <si>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</si>
  <si>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</si>
  <si>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</si>
  <si>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</si>
  <si>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</si>
  <si>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</si>
  <si>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</si>
  <si>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</si>
  <si>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</si>
  <si>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</si>
  <si>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</si>
  <si>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</si>
  <si>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</si>
  <si>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</si>
  <si>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</si>
  <si>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</si>
  <si>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</si>
  <si>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</si>
  <si>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</si>
  <si>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</si>
  <si>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</si>
  <si>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</si>
  <si>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</si>
  <si>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</si>
  <si>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</si>
  <si>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</si>
  <si>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</si>
  <si>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</si>
  <si>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</si>
  <si>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</si>
  <si>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</si>
  <si>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FOAK Sensitivity</t>
  </si>
  <si>
    <t>NOAK Sensitivity</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</si>
  <si>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</si>
  <si>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</si>
  <si>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</si>
  <si>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</si>
  <si>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</si>
  <si>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</si>
  <si>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</si>
  <si>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</si>
  <si>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</si>
  <si>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</si>
  <si>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</si>
  <si>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</si>
  <si>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</si>
  <si>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</si>
  <si>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</si>
  <si>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</si>
  <si>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</si>
  <si>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</si>
  <si>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</si>
  <si>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BOAK Sensitivity</t>
  </si>
  <si>
    <t>st.triang(c=0.5, loc=0, scale=2)</t>
  </si>
  <si>
    <t>st.triang(c=0.8, loc=0, scale=1)</t>
  </si>
  <si>
    <t>st.triang(c=0.25, loc=0, scale=2)</t>
  </si>
  <si>
    <t>st.triang(c=0.333333333333334, loc=0.7, scale=0.3)</t>
  </si>
  <si>
    <t>st.triang(c=0.619047619047619, loc=3, scale=21)</t>
  </si>
  <si>
    <t>st.triang(c=0.166666666666667, loc=1, scale=12)</t>
  </si>
  <si>
    <t>st.triang(c=0.25, loc=1, scale=12)</t>
  </si>
  <si>
    <t>st.triang(c=0.333333333333333, loc=1, scale=12)</t>
  </si>
  <si>
    <t>st.triang(c=0.021021021021021, loc=1000, scale=999000)</t>
  </si>
  <si>
    <t>st.triang(c=0, loc=0, scale=0.4)</t>
  </si>
  <si>
    <t>st.triang(c=0.4, loc=0, scale=0.15)</t>
  </si>
  <si>
    <t>st.rv_discrete(values=([1,2,3,4,5,6,7,8,9,10,11,12,13],[1/13,1/13,1/13,1/13,1/13,1/13,1/13,1/13,1/13,1/13,1/13,1/13,1/13]))</t>
  </si>
  <si>
    <t>Baseline</t>
  </si>
  <si>
    <t>Sensitivity</t>
  </si>
  <si>
    <t>Extremes</t>
  </si>
  <si>
    <t>Business as Usual</t>
  </si>
  <si>
    <t>No Funding</t>
  </si>
  <si>
    <t>Increased Funding</t>
  </si>
  <si>
    <t>Ranges</t>
  </si>
  <si>
    <t>USD/kWe</t>
  </si>
  <si>
    <t>MWh/year</t>
  </si>
  <si>
    <t>Total OCC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</si>
</sst>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8"/>
  <sheetViews>
    <sheetView workbookViewId="0">
      <selection activeCell="C8" sqref="C8"/>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12</v>
      </c>
      <c r="C7" t="s">
        <v>151</v>
      </c>
      <c r="D7">
        <v>3</v>
      </c>
    </row>
    <row r="8" spans="1:6" x14ac:dyDescent="0.25">
      <c r="A8" t="s">
        <v>39</v>
      </c>
      <c r="B8" t="s">
        <v>11</v>
      </c>
      <c r="C8" t="s">
        <v>100</v>
      </c>
      <c r="D8">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64"/>
  <sheetViews>
    <sheetView workbookViewId="0">
      <selection activeCell="B9" sqref="B9"/>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row r="44" spans="1:6" x14ac:dyDescent="0.25">
      <c r="A44" t="s">
        <v>39</v>
      </c>
      <c r="B44" t="s">
        <v>108</v>
      </c>
      <c r="C44" t="s">
        <v>10</v>
      </c>
      <c r="D44" t="s">
        <v>99</v>
      </c>
      <c r="E44">
        <v>1</v>
      </c>
      <c r="F44" t="s">
        <v>104</v>
      </c>
    </row>
    <row r="45" spans="1:6" x14ac:dyDescent="0.25">
      <c r="A45" t="s">
        <v>39</v>
      </c>
      <c r="B45" t="s">
        <v>108</v>
      </c>
      <c r="C45" t="s">
        <v>29</v>
      </c>
      <c r="D45" t="s">
        <v>99</v>
      </c>
      <c r="E45">
        <v>1</v>
      </c>
      <c r="F45" t="s">
        <v>104</v>
      </c>
    </row>
    <row r="46" spans="1:6" x14ac:dyDescent="0.25">
      <c r="A46" t="s">
        <v>39</v>
      </c>
      <c r="B46" t="s">
        <v>108</v>
      </c>
      <c r="C46" t="s">
        <v>32</v>
      </c>
      <c r="D46" t="s">
        <v>99</v>
      </c>
      <c r="E46">
        <v>0</v>
      </c>
      <c r="F46" t="s">
        <v>104</v>
      </c>
    </row>
    <row r="47" spans="1:6" x14ac:dyDescent="0.25">
      <c r="A47" t="s">
        <v>39</v>
      </c>
      <c r="B47" t="s">
        <v>108</v>
      </c>
      <c r="C47" t="s">
        <v>34</v>
      </c>
      <c r="D47" t="s">
        <v>98</v>
      </c>
      <c r="E47">
        <v>50</v>
      </c>
      <c r="F47" t="s">
        <v>35</v>
      </c>
    </row>
    <row r="48" spans="1:6" x14ac:dyDescent="0.25">
      <c r="A48" t="s">
        <v>39</v>
      </c>
      <c r="B48" t="s">
        <v>108</v>
      </c>
      <c r="C48" t="s">
        <v>30</v>
      </c>
      <c r="D48" t="s">
        <v>100</v>
      </c>
      <c r="E48">
        <v>1</v>
      </c>
      <c r="F48" t="s">
        <v>104</v>
      </c>
    </row>
    <row r="49" spans="1:6" x14ac:dyDescent="0.25">
      <c r="A49" t="s">
        <v>39</v>
      </c>
      <c r="B49" t="s">
        <v>108</v>
      </c>
      <c r="C49" t="s">
        <v>33</v>
      </c>
      <c r="D49" t="s">
        <v>100</v>
      </c>
      <c r="E49">
        <v>1</v>
      </c>
      <c r="F49" t="s">
        <v>104</v>
      </c>
    </row>
    <row r="50" spans="1:6" x14ac:dyDescent="0.25">
      <c r="A50" t="s">
        <v>39</v>
      </c>
      <c r="B50" t="s">
        <v>108</v>
      </c>
      <c r="C50" t="s">
        <v>31</v>
      </c>
      <c r="D50" t="s">
        <v>98</v>
      </c>
      <c r="E50">
        <v>1</v>
      </c>
      <c r="F50" t="s">
        <v>104</v>
      </c>
    </row>
    <row r="51" spans="1:6" x14ac:dyDescent="0.25">
      <c r="A51" t="s">
        <v>39</v>
      </c>
      <c r="B51" t="s">
        <v>109</v>
      </c>
      <c r="C51" t="s">
        <v>10</v>
      </c>
      <c r="D51" t="s">
        <v>99</v>
      </c>
      <c r="E51">
        <v>1</v>
      </c>
      <c r="F51" t="s">
        <v>104</v>
      </c>
    </row>
    <row r="52" spans="1:6" x14ac:dyDescent="0.25">
      <c r="A52" t="s">
        <v>39</v>
      </c>
      <c r="B52" t="s">
        <v>109</v>
      </c>
      <c r="C52" t="s">
        <v>29</v>
      </c>
      <c r="D52" t="s">
        <v>99</v>
      </c>
      <c r="E52">
        <v>1</v>
      </c>
      <c r="F52" t="s">
        <v>104</v>
      </c>
    </row>
    <row r="53" spans="1:6" x14ac:dyDescent="0.25">
      <c r="A53" t="s">
        <v>39</v>
      </c>
      <c r="B53" t="s">
        <v>109</v>
      </c>
      <c r="C53" t="s">
        <v>32</v>
      </c>
      <c r="D53" t="s">
        <v>99</v>
      </c>
      <c r="E53">
        <v>0</v>
      </c>
      <c r="F53" t="s">
        <v>104</v>
      </c>
    </row>
    <row r="54" spans="1:6" x14ac:dyDescent="0.25">
      <c r="A54" t="s">
        <v>39</v>
      </c>
      <c r="B54" t="s">
        <v>109</v>
      </c>
      <c r="C54" t="s">
        <v>34</v>
      </c>
      <c r="D54" t="s">
        <v>98</v>
      </c>
      <c r="E54">
        <v>50</v>
      </c>
      <c r="F54" t="s">
        <v>35</v>
      </c>
    </row>
    <row r="55" spans="1:6" x14ac:dyDescent="0.25">
      <c r="A55" t="s">
        <v>39</v>
      </c>
      <c r="B55" t="s">
        <v>109</v>
      </c>
      <c r="C55" t="s">
        <v>30</v>
      </c>
      <c r="D55" t="s">
        <v>100</v>
      </c>
      <c r="E55">
        <v>1</v>
      </c>
      <c r="F55" t="s">
        <v>104</v>
      </c>
    </row>
    <row r="56" spans="1:6" x14ac:dyDescent="0.25">
      <c r="A56" t="s">
        <v>39</v>
      </c>
      <c r="B56" t="s">
        <v>109</v>
      </c>
      <c r="C56" t="s">
        <v>33</v>
      </c>
      <c r="D56" t="s">
        <v>100</v>
      </c>
      <c r="E56">
        <v>1</v>
      </c>
      <c r="F56" t="s">
        <v>104</v>
      </c>
    </row>
    <row r="57" spans="1:6" x14ac:dyDescent="0.25">
      <c r="A57" t="s">
        <v>39</v>
      </c>
      <c r="B57" t="s">
        <v>109</v>
      </c>
      <c r="C57" t="s">
        <v>31</v>
      </c>
      <c r="D57" t="s">
        <v>98</v>
      </c>
      <c r="E57">
        <v>1</v>
      </c>
      <c r="F57" t="s">
        <v>104</v>
      </c>
    </row>
    <row r="58" spans="1:6" x14ac:dyDescent="0.25">
      <c r="A58" t="s">
        <v>39</v>
      </c>
      <c r="B58" t="s">
        <v>129</v>
      </c>
      <c r="C58" t="s">
        <v>10</v>
      </c>
      <c r="D58" t="s">
        <v>99</v>
      </c>
      <c r="E58">
        <v>1</v>
      </c>
      <c r="F58" t="s">
        <v>104</v>
      </c>
    </row>
    <row r="59" spans="1:6" x14ac:dyDescent="0.25">
      <c r="A59" t="s">
        <v>39</v>
      </c>
      <c r="B59" t="s">
        <v>129</v>
      </c>
      <c r="C59" t="s">
        <v>29</v>
      </c>
      <c r="D59" t="s">
        <v>99</v>
      </c>
      <c r="E59">
        <v>1</v>
      </c>
      <c r="F59" t="s">
        <v>104</v>
      </c>
    </row>
    <row r="60" spans="1:6" x14ac:dyDescent="0.25">
      <c r="A60" t="s">
        <v>39</v>
      </c>
      <c r="B60" t="s">
        <v>129</v>
      </c>
      <c r="C60" t="s">
        <v>32</v>
      </c>
      <c r="D60" t="s">
        <v>99</v>
      </c>
      <c r="E60">
        <v>0</v>
      </c>
      <c r="F60" t="s">
        <v>104</v>
      </c>
    </row>
    <row r="61" spans="1:6" x14ac:dyDescent="0.25">
      <c r="A61" t="s">
        <v>39</v>
      </c>
      <c r="B61" t="s">
        <v>129</v>
      </c>
      <c r="C61" t="s">
        <v>34</v>
      </c>
      <c r="D61" t="s">
        <v>98</v>
      </c>
      <c r="E61">
        <v>50</v>
      </c>
      <c r="F61" t="s">
        <v>35</v>
      </c>
    </row>
    <row r="62" spans="1:6" x14ac:dyDescent="0.25">
      <c r="A62" t="s">
        <v>39</v>
      </c>
      <c r="B62" t="s">
        <v>129</v>
      </c>
      <c r="C62" t="s">
        <v>30</v>
      </c>
      <c r="D62" t="s">
        <v>100</v>
      </c>
      <c r="E62">
        <v>1</v>
      </c>
      <c r="F62" t="s">
        <v>104</v>
      </c>
    </row>
    <row r="63" spans="1:6" x14ac:dyDescent="0.25">
      <c r="A63" t="s">
        <v>39</v>
      </c>
      <c r="B63" t="s">
        <v>129</v>
      </c>
      <c r="C63" t="s">
        <v>33</v>
      </c>
      <c r="D63" t="s">
        <v>100</v>
      </c>
      <c r="E63">
        <v>1</v>
      </c>
      <c r="F63" t="s">
        <v>104</v>
      </c>
    </row>
    <row r="64" spans="1:6" x14ac:dyDescent="0.25">
      <c r="A64" t="s">
        <v>39</v>
      </c>
      <c r="B64" t="s">
        <v>129</v>
      </c>
      <c r="C64" t="s">
        <v>31</v>
      </c>
      <c r="D64" t="s">
        <v>98</v>
      </c>
      <c r="E64">
        <v>1</v>
      </c>
      <c r="F64" t="s">
        <v>104</v>
      </c>
    </row>
  </sheetData>
  <sortState xmlns:xlrd2="http://schemas.microsoft.com/office/spreadsheetml/2017/richdata2" ref="A2:G281">
    <sortCondition ref="B2:B281"/>
    <sortCondition ref="A2:A281"/>
    <sortCondition ref="C2:C281"/>
    <sortCondition ref="D2:D28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217"/>
  <sheetViews>
    <sheetView tabSelected="1" zoomScale="145" zoomScaleNormal="145" workbookViewId="0">
      <selection activeCell="E218" sqref="E218"/>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125</v>
      </c>
    </row>
    <row r="12" spans="1:7" x14ac:dyDescent="0.25">
      <c r="A12" t="s">
        <v>39</v>
      </c>
      <c r="B12" t="s">
        <v>71</v>
      </c>
      <c r="C12" t="s">
        <v>60</v>
      </c>
      <c r="D12">
        <v>10</v>
      </c>
      <c r="E12">
        <v>1</v>
      </c>
      <c r="F12" t="s">
        <v>43</v>
      </c>
      <c r="G12" t="s">
        <v>126</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x14ac:dyDescent="0.25">
      <c r="A26" t="s">
        <v>39</v>
      </c>
      <c r="B26" t="s">
        <v>88</v>
      </c>
      <c r="C26" t="s">
        <v>59</v>
      </c>
      <c r="D26">
        <v>0</v>
      </c>
      <c r="E26">
        <v>0</v>
      </c>
      <c r="F26" t="s">
        <v>43</v>
      </c>
      <c r="G26" t="s">
        <v>74</v>
      </c>
    </row>
    <row r="27" spans="1:7" x14ac:dyDescent="0.25">
      <c r="A27" t="s">
        <v>39</v>
      </c>
      <c r="B27" t="s">
        <v>88</v>
      </c>
      <c r="C27" t="s">
        <v>63</v>
      </c>
      <c r="D27">
        <v>1</v>
      </c>
      <c r="E27">
        <v>0</v>
      </c>
      <c r="F27" t="s">
        <v>43</v>
      </c>
      <c r="G27" t="s">
        <v>75</v>
      </c>
    </row>
    <row r="28" spans="1:7" x14ac:dyDescent="0.25">
      <c r="A28" t="s">
        <v>39</v>
      </c>
      <c r="B28" t="s">
        <v>88</v>
      </c>
      <c r="C28" t="s">
        <v>54</v>
      </c>
      <c r="D28">
        <v>2</v>
      </c>
      <c r="E28">
        <v>0</v>
      </c>
      <c r="F28" t="s">
        <v>43</v>
      </c>
      <c r="G28" t="s">
        <v>76</v>
      </c>
    </row>
    <row r="29" spans="1:7" x14ac:dyDescent="0.25">
      <c r="A29" t="s">
        <v>39</v>
      </c>
      <c r="B29" t="s">
        <v>88</v>
      </c>
      <c r="C29" t="s">
        <v>55</v>
      </c>
      <c r="D29">
        <v>3</v>
      </c>
      <c r="E29">
        <v>0</v>
      </c>
      <c r="F29" t="s">
        <v>43</v>
      </c>
      <c r="G29" t="s">
        <v>77</v>
      </c>
    </row>
    <row r="30" spans="1:7" x14ac:dyDescent="0.25">
      <c r="A30" t="s">
        <v>39</v>
      </c>
      <c r="B30" t="s">
        <v>88</v>
      </c>
      <c r="C30" t="s">
        <v>56</v>
      </c>
      <c r="D30">
        <v>4</v>
      </c>
      <c r="E30">
        <v>0</v>
      </c>
      <c r="F30" t="s">
        <v>43</v>
      </c>
      <c r="G30" t="s">
        <v>78</v>
      </c>
    </row>
    <row r="31" spans="1:7" x14ac:dyDescent="0.25">
      <c r="A31" t="s">
        <v>39</v>
      </c>
      <c r="B31" t="s">
        <v>88</v>
      </c>
      <c r="C31" t="s">
        <v>64</v>
      </c>
      <c r="D31">
        <v>5</v>
      </c>
      <c r="E31">
        <v>1000000</v>
      </c>
      <c r="F31" t="s">
        <v>41</v>
      </c>
      <c r="G31" t="s">
        <v>86</v>
      </c>
    </row>
    <row r="32" spans="1:7" x14ac:dyDescent="0.25">
      <c r="A32" t="s">
        <v>39</v>
      </c>
      <c r="B32" t="s">
        <v>88</v>
      </c>
      <c r="C32" t="s">
        <v>61</v>
      </c>
      <c r="D32">
        <v>6</v>
      </c>
      <c r="E32">
        <v>0</v>
      </c>
      <c r="F32" t="s">
        <v>42</v>
      </c>
      <c r="G32" t="s">
        <v>79</v>
      </c>
    </row>
    <row r="33" spans="1:7" x14ac:dyDescent="0.25">
      <c r="A33" t="s">
        <v>39</v>
      </c>
      <c r="B33" t="s">
        <v>88</v>
      </c>
      <c r="C33" t="s">
        <v>62</v>
      </c>
      <c r="D33">
        <v>7</v>
      </c>
      <c r="E33">
        <v>13</v>
      </c>
      <c r="F33" t="s">
        <v>72</v>
      </c>
      <c r="G33" t="s">
        <v>80</v>
      </c>
    </row>
    <row r="34" spans="1:7" x14ac:dyDescent="0.25">
      <c r="A34" t="s">
        <v>39</v>
      </c>
      <c r="B34" t="s">
        <v>88</v>
      </c>
      <c r="C34" t="s">
        <v>65</v>
      </c>
      <c r="D34">
        <v>8</v>
      </c>
      <c r="E34">
        <v>0.15</v>
      </c>
      <c r="F34" t="s">
        <v>42</v>
      </c>
      <c r="G34" t="s">
        <v>85</v>
      </c>
    </row>
    <row r="35" spans="1:7" x14ac:dyDescent="0.25">
      <c r="A35" t="s">
        <v>39</v>
      </c>
      <c r="B35" t="s">
        <v>88</v>
      </c>
      <c r="C35" t="s">
        <v>58</v>
      </c>
      <c r="D35">
        <v>9</v>
      </c>
      <c r="E35">
        <v>0</v>
      </c>
      <c r="F35" t="s">
        <v>43</v>
      </c>
      <c r="G35" t="s">
        <v>125</v>
      </c>
    </row>
    <row r="36" spans="1:7" x14ac:dyDescent="0.25">
      <c r="A36" t="s">
        <v>39</v>
      </c>
      <c r="B36" t="s">
        <v>88</v>
      </c>
      <c r="C36" t="s">
        <v>60</v>
      </c>
      <c r="D36">
        <v>10</v>
      </c>
      <c r="E36">
        <v>0</v>
      </c>
      <c r="F36" t="s">
        <v>43</v>
      </c>
      <c r="G36" t="s">
        <v>126</v>
      </c>
    </row>
    <row r="37" spans="1:7" x14ac:dyDescent="0.25">
      <c r="A37" t="s">
        <v>39</v>
      </c>
      <c r="B37" t="s">
        <v>88</v>
      </c>
      <c r="C37" t="s">
        <v>57</v>
      </c>
      <c r="D37">
        <v>11</v>
      </c>
      <c r="E37">
        <v>0</v>
      </c>
      <c r="F37" t="s">
        <v>43</v>
      </c>
      <c r="G37" t="s">
        <v>81</v>
      </c>
    </row>
    <row r="38" spans="1:7" x14ac:dyDescent="0.25">
      <c r="A38" t="s">
        <v>39</v>
      </c>
      <c r="B38" t="s">
        <v>88</v>
      </c>
      <c r="C38" t="s">
        <v>40</v>
      </c>
      <c r="D38">
        <v>12</v>
      </c>
      <c r="E38">
        <v>0.7</v>
      </c>
      <c r="F38" t="s">
        <v>43</v>
      </c>
      <c r="G38" t="s">
        <v>82</v>
      </c>
    </row>
    <row r="39" spans="1:7" x14ac:dyDescent="0.25">
      <c r="A39" t="s">
        <v>39</v>
      </c>
      <c r="B39" t="s">
        <v>88</v>
      </c>
      <c r="C39" t="s">
        <v>70</v>
      </c>
      <c r="D39">
        <v>13</v>
      </c>
      <c r="E39">
        <v>24</v>
      </c>
      <c r="F39" t="s">
        <v>44</v>
      </c>
      <c r="G39" t="s">
        <v>83</v>
      </c>
    </row>
    <row r="40" spans="1:7" x14ac:dyDescent="0.25">
      <c r="A40" t="s">
        <v>39</v>
      </c>
      <c r="B40" t="s">
        <v>88</v>
      </c>
      <c r="C40" t="s">
        <v>45</v>
      </c>
      <c r="D40">
        <v>14</v>
      </c>
      <c r="E40">
        <v>13</v>
      </c>
      <c r="F40" t="s">
        <v>72</v>
      </c>
      <c r="G40" t="s">
        <v>46</v>
      </c>
    </row>
    <row r="41" spans="1:7" x14ac:dyDescent="0.25">
      <c r="A41" t="s">
        <v>39</v>
      </c>
      <c r="B41" t="s">
        <v>88</v>
      </c>
      <c r="C41" t="s">
        <v>53</v>
      </c>
      <c r="D41">
        <v>15</v>
      </c>
      <c r="E41">
        <v>1</v>
      </c>
      <c r="F41" t="s">
        <v>72</v>
      </c>
      <c r="G41" t="s">
        <v>84</v>
      </c>
    </row>
    <row r="42" spans="1:7" x14ac:dyDescent="0.25">
      <c r="A42" t="s">
        <v>39</v>
      </c>
      <c r="B42" t="s">
        <v>88</v>
      </c>
      <c r="C42" t="s">
        <v>47</v>
      </c>
      <c r="D42">
        <v>16</v>
      </c>
      <c r="E42">
        <v>13</v>
      </c>
      <c r="F42" t="s">
        <v>72</v>
      </c>
      <c r="G42" t="s">
        <v>51</v>
      </c>
    </row>
    <row r="43" spans="1:7" x14ac:dyDescent="0.25">
      <c r="A43" t="s">
        <v>39</v>
      </c>
      <c r="B43" t="s">
        <v>88</v>
      </c>
      <c r="C43" t="s">
        <v>48</v>
      </c>
      <c r="D43">
        <v>17</v>
      </c>
      <c r="E43">
        <v>13</v>
      </c>
      <c r="F43" t="s">
        <v>72</v>
      </c>
      <c r="G43" t="s">
        <v>50</v>
      </c>
    </row>
    <row r="44" spans="1:7" x14ac:dyDescent="0.25">
      <c r="A44" t="s">
        <v>39</v>
      </c>
      <c r="B44" t="s">
        <v>88</v>
      </c>
      <c r="C44" t="s">
        <v>49</v>
      </c>
      <c r="D44">
        <v>18</v>
      </c>
      <c r="E44">
        <v>13</v>
      </c>
      <c r="F44" t="s">
        <v>72</v>
      </c>
      <c r="G44" t="s">
        <v>52</v>
      </c>
    </row>
    <row r="45" spans="1:7" x14ac:dyDescent="0.25">
      <c r="A45" t="s">
        <v>39</v>
      </c>
      <c r="B45" t="s">
        <v>88</v>
      </c>
      <c r="C45" t="s">
        <v>68</v>
      </c>
      <c r="D45">
        <v>19</v>
      </c>
      <c r="E45">
        <v>250000000</v>
      </c>
      <c r="F45" t="s">
        <v>73</v>
      </c>
      <c r="G45" t="s">
        <v>66</v>
      </c>
    </row>
    <row r="46" spans="1:7" x14ac:dyDescent="0.25">
      <c r="A46" t="s">
        <v>39</v>
      </c>
      <c r="B46" t="s">
        <v>88</v>
      </c>
      <c r="C46" t="s">
        <v>69</v>
      </c>
      <c r="D46">
        <v>20</v>
      </c>
      <c r="E46">
        <v>150000000</v>
      </c>
      <c r="F46" t="s">
        <v>73</v>
      </c>
      <c r="G46" t="s">
        <v>67</v>
      </c>
    </row>
    <row r="47" spans="1:7" x14ac:dyDescent="0.25">
      <c r="A47" t="s">
        <v>39</v>
      </c>
      <c r="B47" t="s">
        <v>88</v>
      </c>
      <c r="C47" t="s">
        <v>89</v>
      </c>
      <c r="D47">
        <v>21</v>
      </c>
      <c r="E47">
        <v>13</v>
      </c>
      <c r="F47" t="s">
        <v>91</v>
      </c>
      <c r="G47" t="s">
        <v>93</v>
      </c>
    </row>
    <row r="48" spans="1:7" x14ac:dyDescent="0.25">
      <c r="A48" t="s">
        <v>39</v>
      </c>
      <c r="B48" t="s">
        <v>88</v>
      </c>
      <c r="C48" t="s">
        <v>90</v>
      </c>
      <c r="D48">
        <v>22</v>
      </c>
      <c r="E48">
        <v>179</v>
      </c>
      <c r="F48" t="s">
        <v>92</v>
      </c>
      <c r="G48" t="s">
        <v>94</v>
      </c>
    </row>
    <row r="49" spans="1:7" x14ac:dyDescent="0.25">
      <c r="A49" t="s">
        <v>39</v>
      </c>
      <c r="B49" t="s">
        <v>88</v>
      </c>
      <c r="C49" t="s">
        <v>95</v>
      </c>
      <c r="D49">
        <v>23</v>
      </c>
      <c r="E49">
        <v>1</v>
      </c>
      <c r="F49" t="s">
        <v>91</v>
      </c>
      <c r="G49" t="s">
        <v>96</v>
      </c>
    </row>
    <row r="50" spans="1:7" x14ac:dyDescent="0.25">
      <c r="A50" t="s">
        <v>39</v>
      </c>
      <c r="B50" t="s">
        <v>87</v>
      </c>
      <c r="C50" t="s">
        <v>59</v>
      </c>
      <c r="D50">
        <v>0</v>
      </c>
      <c r="E50">
        <v>2</v>
      </c>
      <c r="F50" t="s">
        <v>43</v>
      </c>
      <c r="G50" t="s">
        <v>74</v>
      </c>
    </row>
    <row r="51" spans="1:7" x14ac:dyDescent="0.25">
      <c r="A51" t="s">
        <v>39</v>
      </c>
      <c r="B51" t="s">
        <v>87</v>
      </c>
      <c r="C51" t="s">
        <v>63</v>
      </c>
      <c r="D51">
        <v>1</v>
      </c>
      <c r="E51">
        <v>1</v>
      </c>
      <c r="F51" t="s">
        <v>43</v>
      </c>
      <c r="G51" t="s">
        <v>75</v>
      </c>
    </row>
    <row r="52" spans="1:7" x14ac:dyDescent="0.25">
      <c r="A52" t="s">
        <v>39</v>
      </c>
      <c r="B52" t="s">
        <v>87</v>
      </c>
      <c r="C52" t="s">
        <v>54</v>
      </c>
      <c r="D52">
        <v>2</v>
      </c>
      <c r="E52">
        <v>2</v>
      </c>
      <c r="F52" t="s">
        <v>43</v>
      </c>
      <c r="G52" t="s">
        <v>76</v>
      </c>
    </row>
    <row r="53" spans="1:7" x14ac:dyDescent="0.25">
      <c r="A53" t="s">
        <v>39</v>
      </c>
      <c r="B53" t="s">
        <v>87</v>
      </c>
      <c r="C53" t="s">
        <v>55</v>
      </c>
      <c r="D53">
        <v>3</v>
      </c>
      <c r="E53">
        <v>2</v>
      </c>
      <c r="F53" t="s">
        <v>43</v>
      </c>
      <c r="G53" t="s">
        <v>77</v>
      </c>
    </row>
    <row r="54" spans="1:7" x14ac:dyDescent="0.25">
      <c r="A54" t="s">
        <v>39</v>
      </c>
      <c r="B54" t="s">
        <v>87</v>
      </c>
      <c r="C54" t="s">
        <v>56</v>
      </c>
      <c r="D54">
        <v>4</v>
      </c>
      <c r="E54">
        <v>2</v>
      </c>
      <c r="F54" t="s">
        <v>43</v>
      </c>
      <c r="G54" t="s">
        <v>78</v>
      </c>
    </row>
    <row r="55" spans="1:7" x14ac:dyDescent="0.25">
      <c r="A55" t="s">
        <v>39</v>
      </c>
      <c r="B55" t="s">
        <v>87</v>
      </c>
      <c r="C55" t="s">
        <v>64</v>
      </c>
      <c r="D55">
        <v>5</v>
      </c>
      <c r="E55">
        <v>22000</v>
      </c>
      <c r="F55" t="s">
        <v>41</v>
      </c>
      <c r="G55" t="s">
        <v>86</v>
      </c>
    </row>
    <row r="56" spans="1:7" x14ac:dyDescent="0.25">
      <c r="A56" t="s">
        <v>39</v>
      </c>
      <c r="B56" t="s">
        <v>87</v>
      </c>
      <c r="C56" t="s">
        <v>61</v>
      </c>
      <c r="D56">
        <v>6</v>
      </c>
      <c r="E56">
        <v>0.4</v>
      </c>
      <c r="F56" t="s">
        <v>42</v>
      </c>
      <c r="G56" t="s">
        <v>79</v>
      </c>
    </row>
    <row r="57" spans="1:7" x14ac:dyDescent="0.25">
      <c r="A57" t="s">
        <v>39</v>
      </c>
      <c r="B57" t="s">
        <v>87</v>
      </c>
      <c r="C57" t="s">
        <v>62</v>
      </c>
      <c r="D57">
        <v>7</v>
      </c>
      <c r="E57">
        <v>3</v>
      </c>
      <c r="F57" t="s">
        <v>72</v>
      </c>
      <c r="G57" t="s">
        <v>80</v>
      </c>
    </row>
    <row r="58" spans="1:7" x14ac:dyDescent="0.25">
      <c r="A58" t="s">
        <v>39</v>
      </c>
      <c r="B58" t="s">
        <v>87</v>
      </c>
      <c r="C58" t="s">
        <v>65</v>
      </c>
      <c r="D58">
        <v>8</v>
      </c>
      <c r="E58">
        <v>0.06</v>
      </c>
      <c r="F58" t="s">
        <v>42</v>
      </c>
      <c r="G58" t="s">
        <v>85</v>
      </c>
    </row>
    <row r="59" spans="1:7" x14ac:dyDescent="0.25">
      <c r="A59" t="s">
        <v>39</v>
      </c>
      <c r="B59" t="s">
        <v>87</v>
      </c>
      <c r="C59" t="s">
        <v>58</v>
      </c>
      <c r="D59">
        <v>9</v>
      </c>
      <c r="E59">
        <v>1</v>
      </c>
      <c r="F59" t="s">
        <v>43</v>
      </c>
      <c r="G59" t="s">
        <v>125</v>
      </c>
    </row>
    <row r="60" spans="1:7" x14ac:dyDescent="0.25">
      <c r="A60" t="s">
        <v>39</v>
      </c>
      <c r="B60" t="s">
        <v>87</v>
      </c>
      <c r="C60" t="s">
        <v>60</v>
      </c>
      <c r="D60">
        <v>10</v>
      </c>
      <c r="E60">
        <v>1</v>
      </c>
      <c r="F60" t="s">
        <v>43</v>
      </c>
      <c r="G60" t="s">
        <v>126</v>
      </c>
    </row>
    <row r="61" spans="1:7" x14ac:dyDescent="0.25">
      <c r="A61" t="s">
        <v>39</v>
      </c>
      <c r="B61" t="s">
        <v>87</v>
      </c>
      <c r="C61" t="s">
        <v>57</v>
      </c>
      <c r="D61">
        <v>11</v>
      </c>
      <c r="E61">
        <v>1</v>
      </c>
      <c r="F61" t="s">
        <v>43</v>
      </c>
      <c r="G61" t="s">
        <v>81</v>
      </c>
    </row>
    <row r="62" spans="1:7" x14ac:dyDescent="0.25">
      <c r="A62" t="s">
        <v>39</v>
      </c>
      <c r="B62" t="s">
        <v>87</v>
      </c>
      <c r="C62" t="s">
        <v>40</v>
      </c>
      <c r="D62">
        <v>12</v>
      </c>
      <c r="E62">
        <v>1</v>
      </c>
      <c r="F62" t="s">
        <v>43</v>
      </c>
      <c r="G62" t="s">
        <v>82</v>
      </c>
    </row>
    <row r="63" spans="1:7" x14ac:dyDescent="0.25">
      <c r="A63" t="s">
        <v>39</v>
      </c>
      <c r="B63" t="s">
        <v>87</v>
      </c>
      <c r="C63" t="s">
        <v>70</v>
      </c>
      <c r="D63">
        <v>13</v>
      </c>
      <c r="E63">
        <v>3</v>
      </c>
      <c r="F63" t="s">
        <v>44</v>
      </c>
      <c r="G63" t="s">
        <v>83</v>
      </c>
    </row>
    <row r="64" spans="1:7" x14ac:dyDescent="0.25">
      <c r="A64" t="s">
        <v>39</v>
      </c>
      <c r="B64" t="s">
        <v>87</v>
      </c>
      <c r="C64" t="s">
        <v>45</v>
      </c>
      <c r="D64">
        <v>14</v>
      </c>
      <c r="E64">
        <v>13</v>
      </c>
      <c r="F64" t="s">
        <v>72</v>
      </c>
      <c r="G64" t="s">
        <v>46</v>
      </c>
    </row>
    <row r="65" spans="1:7" x14ac:dyDescent="0.25">
      <c r="A65" t="s">
        <v>39</v>
      </c>
      <c r="B65" t="s">
        <v>87</v>
      </c>
      <c r="C65" t="s">
        <v>53</v>
      </c>
      <c r="D65">
        <v>15</v>
      </c>
      <c r="E65">
        <v>1</v>
      </c>
      <c r="F65" t="s">
        <v>72</v>
      </c>
      <c r="G65" t="s">
        <v>84</v>
      </c>
    </row>
    <row r="66" spans="1:7" x14ac:dyDescent="0.25">
      <c r="A66" t="s">
        <v>39</v>
      </c>
      <c r="B66" t="s">
        <v>87</v>
      </c>
      <c r="C66" t="s">
        <v>47</v>
      </c>
      <c r="D66">
        <v>16</v>
      </c>
      <c r="E66">
        <v>1</v>
      </c>
      <c r="F66" t="s">
        <v>72</v>
      </c>
      <c r="G66" t="s">
        <v>51</v>
      </c>
    </row>
    <row r="67" spans="1:7" x14ac:dyDescent="0.25">
      <c r="A67" t="s">
        <v>39</v>
      </c>
      <c r="B67" t="s">
        <v>87</v>
      </c>
      <c r="C67" t="s">
        <v>48</v>
      </c>
      <c r="D67">
        <v>17</v>
      </c>
      <c r="E67">
        <v>1</v>
      </c>
      <c r="F67" t="s">
        <v>72</v>
      </c>
      <c r="G67" t="s">
        <v>50</v>
      </c>
    </row>
    <row r="68" spans="1:7" x14ac:dyDescent="0.25">
      <c r="A68" t="s">
        <v>39</v>
      </c>
      <c r="B68" t="s">
        <v>87</v>
      </c>
      <c r="C68" t="s">
        <v>49</v>
      </c>
      <c r="D68">
        <v>18</v>
      </c>
      <c r="E68">
        <v>1</v>
      </c>
      <c r="F68" t="s">
        <v>72</v>
      </c>
      <c r="G68" t="s">
        <v>52</v>
      </c>
    </row>
    <row r="69" spans="1:7" x14ac:dyDescent="0.25">
      <c r="A69" t="s">
        <v>39</v>
      </c>
      <c r="B69" t="s">
        <v>87</v>
      </c>
      <c r="C69" t="s">
        <v>68</v>
      </c>
      <c r="D69">
        <v>19</v>
      </c>
      <c r="E69">
        <v>250000000</v>
      </c>
      <c r="F69" t="s">
        <v>73</v>
      </c>
      <c r="G69" t="s">
        <v>66</v>
      </c>
    </row>
    <row r="70" spans="1:7" x14ac:dyDescent="0.25">
      <c r="A70" t="s">
        <v>39</v>
      </c>
      <c r="B70" t="s">
        <v>87</v>
      </c>
      <c r="C70" t="s">
        <v>69</v>
      </c>
      <c r="D70">
        <v>20</v>
      </c>
      <c r="E70">
        <v>150000000</v>
      </c>
      <c r="F70" t="s">
        <v>73</v>
      </c>
      <c r="G70" t="s">
        <v>67</v>
      </c>
    </row>
    <row r="71" spans="1:7" x14ac:dyDescent="0.25">
      <c r="A71" t="s">
        <v>39</v>
      </c>
      <c r="B71" t="s">
        <v>87</v>
      </c>
      <c r="C71" t="s">
        <v>89</v>
      </c>
      <c r="D71">
        <v>21</v>
      </c>
      <c r="E71">
        <v>13</v>
      </c>
      <c r="F71" t="s">
        <v>91</v>
      </c>
      <c r="G71" t="s">
        <v>93</v>
      </c>
    </row>
    <row r="72" spans="1:7" x14ac:dyDescent="0.25">
      <c r="A72" t="s">
        <v>39</v>
      </c>
      <c r="B72" t="s">
        <v>87</v>
      </c>
      <c r="C72" t="s">
        <v>90</v>
      </c>
      <c r="D72">
        <v>22</v>
      </c>
      <c r="E72">
        <v>179</v>
      </c>
      <c r="F72" t="s">
        <v>92</v>
      </c>
      <c r="G72" t="s">
        <v>94</v>
      </c>
    </row>
    <row r="73" spans="1:7" x14ac:dyDescent="0.25">
      <c r="A73" t="s">
        <v>39</v>
      </c>
      <c r="B73" t="s">
        <v>87</v>
      </c>
      <c r="C73" t="s">
        <v>95</v>
      </c>
      <c r="D73">
        <v>23</v>
      </c>
      <c r="E73">
        <v>1</v>
      </c>
      <c r="F73" t="s">
        <v>91</v>
      </c>
      <c r="G73" t="s">
        <v>96</v>
      </c>
    </row>
    <row r="74" spans="1:7" x14ac:dyDescent="0.25">
      <c r="A74" t="s">
        <v>39</v>
      </c>
      <c r="B74" t="s">
        <v>106</v>
      </c>
      <c r="C74" t="s">
        <v>59</v>
      </c>
      <c r="D74">
        <v>0</v>
      </c>
      <c r="E74">
        <v>2</v>
      </c>
      <c r="F74" t="s">
        <v>43</v>
      </c>
      <c r="G74" t="s">
        <v>74</v>
      </c>
    </row>
    <row r="75" spans="1:7" x14ac:dyDescent="0.25">
      <c r="A75" t="s">
        <v>39</v>
      </c>
      <c r="B75" t="s">
        <v>106</v>
      </c>
      <c r="C75" t="s">
        <v>63</v>
      </c>
      <c r="D75">
        <v>1</v>
      </c>
      <c r="E75">
        <v>1</v>
      </c>
      <c r="F75" t="s">
        <v>43</v>
      </c>
      <c r="G75" t="s">
        <v>75</v>
      </c>
    </row>
    <row r="76" spans="1:7" x14ac:dyDescent="0.25">
      <c r="A76" t="s">
        <v>39</v>
      </c>
      <c r="B76" t="s">
        <v>106</v>
      </c>
      <c r="C76" t="s">
        <v>54</v>
      </c>
      <c r="D76">
        <v>2</v>
      </c>
      <c r="E76">
        <v>2</v>
      </c>
      <c r="F76" t="s">
        <v>43</v>
      </c>
      <c r="G76" t="s">
        <v>76</v>
      </c>
    </row>
    <row r="77" spans="1:7" x14ac:dyDescent="0.25">
      <c r="A77" t="s">
        <v>39</v>
      </c>
      <c r="B77" t="s">
        <v>106</v>
      </c>
      <c r="C77" t="s">
        <v>55</v>
      </c>
      <c r="D77">
        <v>3</v>
      </c>
      <c r="E77">
        <v>2</v>
      </c>
      <c r="F77" t="s">
        <v>43</v>
      </c>
      <c r="G77" t="s">
        <v>77</v>
      </c>
    </row>
    <row r="78" spans="1:7" x14ac:dyDescent="0.25">
      <c r="A78" t="s">
        <v>39</v>
      </c>
      <c r="B78" t="s">
        <v>106</v>
      </c>
      <c r="C78" t="s">
        <v>56</v>
      </c>
      <c r="D78">
        <v>4</v>
      </c>
      <c r="E78">
        <v>2</v>
      </c>
      <c r="F78" t="s">
        <v>43</v>
      </c>
      <c r="G78" t="s">
        <v>78</v>
      </c>
    </row>
    <row r="79" spans="1:7" x14ac:dyDescent="0.25">
      <c r="A79" t="s">
        <v>39</v>
      </c>
      <c r="B79" t="s">
        <v>106</v>
      </c>
      <c r="C79" t="s">
        <v>64</v>
      </c>
      <c r="D79">
        <v>5</v>
      </c>
      <c r="E79">
        <v>22000</v>
      </c>
      <c r="F79" t="s">
        <v>41</v>
      </c>
      <c r="G79" t="s">
        <v>86</v>
      </c>
    </row>
    <row r="80" spans="1:7" x14ac:dyDescent="0.25">
      <c r="A80" t="s">
        <v>39</v>
      </c>
      <c r="B80" t="s">
        <v>106</v>
      </c>
      <c r="C80" t="s">
        <v>61</v>
      </c>
      <c r="D80">
        <v>6</v>
      </c>
      <c r="E80">
        <v>0.4</v>
      </c>
      <c r="F80" t="s">
        <v>42</v>
      </c>
      <c r="G80" t="s">
        <v>79</v>
      </c>
    </row>
    <row r="81" spans="1:7" x14ac:dyDescent="0.25">
      <c r="A81" t="s">
        <v>39</v>
      </c>
      <c r="B81" t="s">
        <v>106</v>
      </c>
      <c r="C81" t="s">
        <v>62</v>
      </c>
      <c r="D81">
        <v>7</v>
      </c>
      <c r="E81">
        <v>3</v>
      </c>
      <c r="F81" t="s">
        <v>72</v>
      </c>
      <c r="G81" t="s">
        <v>80</v>
      </c>
    </row>
    <row r="82" spans="1:7" x14ac:dyDescent="0.25">
      <c r="A82" t="s">
        <v>39</v>
      </c>
      <c r="B82" t="s">
        <v>106</v>
      </c>
      <c r="C82" t="s">
        <v>65</v>
      </c>
      <c r="D82">
        <v>8</v>
      </c>
      <c r="E82">
        <v>0.06</v>
      </c>
      <c r="F82" t="s">
        <v>42</v>
      </c>
      <c r="G82" t="s">
        <v>85</v>
      </c>
    </row>
    <row r="83" spans="1:7" x14ac:dyDescent="0.25">
      <c r="A83" t="s">
        <v>39</v>
      </c>
      <c r="B83" t="s">
        <v>106</v>
      </c>
      <c r="C83" t="s">
        <v>58</v>
      </c>
      <c r="D83">
        <v>9</v>
      </c>
      <c r="E83">
        <v>1</v>
      </c>
      <c r="F83" t="s">
        <v>43</v>
      </c>
      <c r="G83" t="s">
        <v>125</v>
      </c>
    </row>
    <row r="84" spans="1:7" x14ac:dyDescent="0.25">
      <c r="A84" t="s">
        <v>39</v>
      </c>
      <c r="B84" t="s">
        <v>106</v>
      </c>
      <c r="C84" t="s">
        <v>60</v>
      </c>
      <c r="D84">
        <v>10</v>
      </c>
      <c r="E84">
        <v>1</v>
      </c>
      <c r="F84" t="s">
        <v>43</v>
      </c>
      <c r="G84" t="s">
        <v>126</v>
      </c>
    </row>
    <row r="85" spans="1:7" x14ac:dyDescent="0.25">
      <c r="A85" t="s">
        <v>39</v>
      </c>
      <c r="B85" t="s">
        <v>106</v>
      </c>
      <c r="C85" t="s">
        <v>57</v>
      </c>
      <c r="D85">
        <v>11</v>
      </c>
      <c r="E85">
        <v>1</v>
      </c>
      <c r="F85" t="s">
        <v>43</v>
      </c>
      <c r="G85" t="s">
        <v>81</v>
      </c>
    </row>
    <row r="86" spans="1:7" x14ac:dyDescent="0.25">
      <c r="A86" t="s">
        <v>39</v>
      </c>
      <c r="B86" t="s">
        <v>106</v>
      </c>
      <c r="C86" t="s">
        <v>40</v>
      </c>
      <c r="D86">
        <v>12</v>
      </c>
      <c r="E86">
        <v>1</v>
      </c>
      <c r="F86" t="s">
        <v>43</v>
      </c>
      <c r="G86" t="s">
        <v>82</v>
      </c>
    </row>
    <row r="87" spans="1:7" x14ac:dyDescent="0.25">
      <c r="A87" t="s">
        <v>39</v>
      </c>
      <c r="B87" t="s">
        <v>106</v>
      </c>
      <c r="C87" t="s">
        <v>70</v>
      </c>
      <c r="D87">
        <v>13</v>
      </c>
      <c r="E87">
        <v>3</v>
      </c>
      <c r="F87" t="s">
        <v>44</v>
      </c>
      <c r="G87" t="s">
        <v>83</v>
      </c>
    </row>
    <row r="88" spans="1:7" x14ac:dyDescent="0.25">
      <c r="A88" t="s">
        <v>39</v>
      </c>
      <c r="B88" t="s">
        <v>106</v>
      </c>
      <c r="C88" t="s">
        <v>45</v>
      </c>
      <c r="D88">
        <v>14</v>
      </c>
      <c r="E88">
        <v>13</v>
      </c>
      <c r="F88" t="s">
        <v>72</v>
      </c>
      <c r="G88" t="s">
        <v>46</v>
      </c>
    </row>
    <row r="89" spans="1:7" x14ac:dyDescent="0.25">
      <c r="A89" t="s">
        <v>39</v>
      </c>
      <c r="B89" t="s">
        <v>106</v>
      </c>
      <c r="C89" t="s">
        <v>53</v>
      </c>
      <c r="D89">
        <v>15</v>
      </c>
      <c r="E89">
        <v>13</v>
      </c>
      <c r="F89" t="s">
        <v>72</v>
      </c>
      <c r="G89" t="s">
        <v>84</v>
      </c>
    </row>
    <row r="90" spans="1:7" x14ac:dyDescent="0.25">
      <c r="A90" t="s">
        <v>39</v>
      </c>
      <c r="B90" t="s">
        <v>106</v>
      </c>
      <c r="C90" t="s">
        <v>47</v>
      </c>
      <c r="D90">
        <v>16</v>
      </c>
      <c r="E90">
        <v>1</v>
      </c>
      <c r="F90" t="s">
        <v>72</v>
      </c>
      <c r="G90" t="s">
        <v>51</v>
      </c>
    </row>
    <row r="91" spans="1:7" x14ac:dyDescent="0.25">
      <c r="A91" t="s">
        <v>39</v>
      </c>
      <c r="B91" t="s">
        <v>106</v>
      </c>
      <c r="C91" t="s">
        <v>48</v>
      </c>
      <c r="D91">
        <v>17</v>
      </c>
      <c r="E91">
        <v>1</v>
      </c>
      <c r="F91" t="s">
        <v>72</v>
      </c>
      <c r="G91" t="s">
        <v>50</v>
      </c>
    </row>
    <row r="92" spans="1:7" x14ac:dyDescent="0.25">
      <c r="A92" t="s">
        <v>39</v>
      </c>
      <c r="B92" t="s">
        <v>106</v>
      </c>
      <c r="C92" t="s">
        <v>49</v>
      </c>
      <c r="D92">
        <v>18</v>
      </c>
      <c r="E92">
        <v>1</v>
      </c>
      <c r="F92" t="s">
        <v>72</v>
      </c>
      <c r="G92" t="s">
        <v>52</v>
      </c>
    </row>
    <row r="93" spans="1:7" x14ac:dyDescent="0.25">
      <c r="A93" t="s">
        <v>39</v>
      </c>
      <c r="B93" t="s">
        <v>106</v>
      </c>
      <c r="C93" t="s">
        <v>68</v>
      </c>
      <c r="D93">
        <v>19</v>
      </c>
      <c r="E93">
        <v>250000000</v>
      </c>
      <c r="F93" t="s">
        <v>73</v>
      </c>
      <c r="G93" t="s">
        <v>66</v>
      </c>
    </row>
    <row r="94" spans="1:7" x14ac:dyDescent="0.25">
      <c r="A94" t="s">
        <v>39</v>
      </c>
      <c r="B94" t="s">
        <v>106</v>
      </c>
      <c r="C94" t="s">
        <v>69</v>
      </c>
      <c r="D94">
        <v>20</v>
      </c>
      <c r="E94">
        <v>150000000</v>
      </c>
      <c r="F94" t="s">
        <v>73</v>
      </c>
      <c r="G94" t="s">
        <v>67</v>
      </c>
    </row>
    <row r="95" spans="1:7" x14ac:dyDescent="0.25">
      <c r="A95" t="s">
        <v>39</v>
      </c>
      <c r="B95" t="s">
        <v>106</v>
      </c>
      <c r="C95" t="s">
        <v>89</v>
      </c>
      <c r="D95">
        <v>21</v>
      </c>
      <c r="E95">
        <v>13</v>
      </c>
      <c r="F95" t="s">
        <v>91</v>
      </c>
      <c r="G95" t="s">
        <v>93</v>
      </c>
    </row>
    <row r="96" spans="1:7" x14ac:dyDescent="0.25">
      <c r="A96" t="s">
        <v>39</v>
      </c>
      <c r="B96" t="s">
        <v>106</v>
      </c>
      <c r="C96" t="s">
        <v>90</v>
      </c>
      <c r="D96">
        <v>22</v>
      </c>
      <c r="E96">
        <v>179</v>
      </c>
      <c r="F96" t="s">
        <v>92</v>
      </c>
      <c r="G96" t="s">
        <v>94</v>
      </c>
    </row>
    <row r="97" spans="1:7" x14ac:dyDescent="0.25">
      <c r="A97" t="s">
        <v>39</v>
      </c>
      <c r="B97" t="s">
        <v>106</v>
      </c>
      <c r="C97" t="s">
        <v>95</v>
      </c>
      <c r="D97">
        <v>23</v>
      </c>
      <c r="E97">
        <v>1</v>
      </c>
      <c r="F97" t="s">
        <v>91</v>
      </c>
      <c r="G97" t="s">
        <v>96</v>
      </c>
    </row>
    <row r="98" spans="1:7" x14ac:dyDescent="0.25">
      <c r="A98" t="s">
        <v>39</v>
      </c>
      <c r="B98" t="s">
        <v>105</v>
      </c>
      <c r="C98" t="s">
        <v>59</v>
      </c>
      <c r="D98">
        <v>0</v>
      </c>
      <c r="E98">
        <v>0</v>
      </c>
      <c r="F98" t="s">
        <v>43</v>
      </c>
      <c r="G98" t="s">
        <v>74</v>
      </c>
    </row>
    <row r="99" spans="1:7" x14ac:dyDescent="0.25">
      <c r="A99" t="s">
        <v>39</v>
      </c>
      <c r="B99" t="s">
        <v>105</v>
      </c>
      <c r="C99" t="s">
        <v>63</v>
      </c>
      <c r="D99">
        <v>1</v>
      </c>
      <c r="E99">
        <v>0</v>
      </c>
      <c r="F99" t="s">
        <v>43</v>
      </c>
      <c r="G99" t="s">
        <v>75</v>
      </c>
    </row>
    <row r="100" spans="1:7" x14ac:dyDescent="0.25">
      <c r="A100" t="s">
        <v>39</v>
      </c>
      <c r="B100" t="s">
        <v>105</v>
      </c>
      <c r="C100" t="s">
        <v>54</v>
      </c>
      <c r="D100">
        <v>2</v>
      </c>
      <c r="E100">
        <v>0</v>
      </c>
      <c r="F100" t="s">
        <v>43</v>
      </c>
      <c r="G100" t="s">
        <v>76</v>
      </c>
    </row>
    <row r="101" spans="1:7" x14ac:dyDescent="0.25">
      <c r="A101" t="s">
        <v>39</v>
      </c>
      <c r="B101" t="s">
        <v>105</v>
      </c>
      <c r="C101" t="s">
        <v>55</v>
      </c>
      <c r="D101">
        <v>3</v>
      </c>
      <c r="E101">
        <v>0</v>
      </c>
      <c r="F101" t="s">
        <v>43</v>
      </c>
      <c r="G101" t="s">
        <v>77</v>
      </c>
    </row>
    <row r="102" spans="1:7" x14ac:dyDescent="0.25">
      <c r="A102" t="s">
        <v>39</v>
      </c>
      <c r="B102" t="s">
        <v>105</v>
      </c>
      <c r="C102" t="s">
        <v>56</v>
      </c>
      <c r="D102">
        <v>4</v>
      </c>
      <c r="E102">
        <v>0</v>
      </c>
      <c r="F102" t="s">
        <v>43</v>
      </c>
      <c r="G102" t="s">
        <v>78</v>
      </c>
    </row>
    <row r="103" spans="1:7" x14ac:dyDescent="0.25">
      <c r="A103" t="s">
        <v>39</v>
      </c>
      <c r="B103" t="s">
        <v>105</v>
      </c>
      <c r="C103" t="s">
        <v>64</v>
      </c>
      <c r="D103">
        <v>5</v>
      </c>
      <c r="E103">
        <v>1000000</v>
      </c>
      <c r="F103" t="s">
        <v>41</v>
      </c>
      <c r="G103" t="s">
        <v>86</v>
      </c>
    </row>
    <row r="104" spans="1:7" x14ac:dyDescent="0.25">
      <c r="A104" t="s">
        <v>39</v>
      </c>
      <c r="B104" t="s">
        <v>105</v>
      </c>
      <c r="C104" t="s">
        <v>61</v>
      </c>
      <c r="D104">
        <v>6</v>
      </c>
      <c r="E104">
        <v>0</v>
      </c>
      <c r="F104" t="s">
        <v>42</v>
      </c>
      <c r="G104" t="s">
        <v>79</v>
      </c>
    </row>
    <row r="105" spans="1:7" x14ac:dyDescent="0.25">
      <c r="A105" t="s">
        <v>39</v>
      </c>
      <c r="B105" t="s">
        <v>105</v>
      </c>
      <c r="C105" t="s">
        <v>62</v>
      </c>
      <c r="D105">
        <v>7</v>
      </c>
      <c r="E105">
        <v>13</v>
      </c>
      <c r="F105" t="s">
        <v>72</v>
      </c>
      <c r="G105" t="s">
        <v>80</v>
      </c>
    </row>
    <row r="106" spans="1:7" x14ac:dyDescent="0.25">
      <c r="A106" t="s">
        <v>39</v>
      </c>
      <c r="B106" t="s">
        <v>105</v>
      </c>
      <c r="C106" t="s">
        <v>65</v>
      </c>
      <c r="D106">
        <v>8</v>
      </c>
      <c r="E106">
        <v>0.15</v>
      </c>
      <c r="F106" t="s">
        <v>42</v>
      </c>
      <c r="G106" t="s">
        <v>85</v>
      </c>
    </row>
    <row r="107" spans="1:7" x14ac:dyDescent="0.25">
      <c r="A107" t="s">
        <v>39</v>
      </c>
      <c r="B107" t="s">
        <v>105</v>
      </c>
      <c r="C107" t="s">
        <v>58</v>
      </c>
      <c r="D107">
        <v>9</v>
      </c>
      <c r="E107">
        <v>0</v>
      </c>
      <c r="F107" t="s">
        <v>43</v>
      </c>
      <c r="G107" t="s">
        <v>125</v>
      </c>
    </row>
    <row r="108" spans="1:7" x14ac:dyDescent="0.25">
      <c r="A108" t="s">
        <v>39</v>
      </c>
      <c r="B108" t="s">
        <v>105</v>
      </c>
      <c r="C108" t="s">
        <v>60</v>
      </c>
      <c r="D108">
        <v>10</v>
      </c>
      <c r="E108">
        <v>0</v>
      </c>
      <c r="F108" t="s">
        <v>43</v>
      </c>
      <c r="G108" t="s">
        <v>126</v>
      </c>
    </row>
    <row r="109" spans="1:7" x14ac:dyDescent="0.25">
      <c r="A109" t="s">
        <v>39</v>
      </c>
      <c r="B109" t="s">
        <v>105</v>
      </c>
      <c r="C109" t="s">
        <v>57</v>
      </c>
      <c r="D109">
        <v>11</v>
      </c>
      <c r="E109">
        <v>0</v>
      </c>
      <c r="F109" t="s">
        <v>43</v>
      </c>
      <c r="G109" t="s">
        <v>81</v>
      </c>
    </row>
    <row r="110" spans="1:7" x14ac:dyDescent="0.25">
      <c r="A110" t="s">
        <v>39</v>
      </c>
      <c r="B110" t="s">
        <v>105</v>
      </c>
      <c r="C110" t="s">
        <v>40</v>
      </c>
      <c r="D110">
        <v>12</v>
      </c>
      <c r="E110">
        <v>0.7</v>
      </c>
      <c r="F110" t="s">
        <v>43</v>
      </c>
      <c r="G110" t="s">
        <v>82</v>
      </c>
    </row>
    <row r="111" spans="1:7" x14ac:dyDescent="0.25">
      <c r="A111" t="s">
        <v>39</v>
      </c>
      <c r="B111" t="s">
        <v>105</v>
      </c>
      <c r="C111" t="s">
        <v>70</v>
      </c>
      <c r="D111">
        <v>13</v>
      </c>
      <c r="E111">
        <v>24</v>
      </c>
      <c r="F111" t="s">
        <v>44</v>
      </c>
      <c r="G111" t="s">
        <v>83</v>
      </c>
    </row>
    <row r="112" spans="1:7" x14ac:dyDescent="0.25">
      <c r="A112" t="s">
        <v>39</v>
      </c>
      <c r="B112" t="s">
        <v>105</v>
      </c>
      <c r="C112" t="s">
        <v>45</v>
      </c>
      <c r="D112">
        <v>14</v>
      </c>
      <c r="E112">
        <v>13</v>
      </c>
      <c r="F112" t="s">
        <v>72</v>
      </c>
      <c r="G112" t="s">
        <v>46</v>
      </c>
    </row>
    <row r="113" spans="1:7" x14ac:dyDescent="0.25">
      <c r="A113" t="s">
        <v>39</v>
      </c>
      <c r="B113" t="s">
        <v>105</v>
      </c>
      <c r="C113" t="s">
        <v>53</v>
      </c>
      <c r="D113">
        <v>15</v>
      </c>
      <c r="E113">
        <v>13</v>
      </c>
      <c r="F113" t="s">
        <v>72</v>
      </c>
      <c r="G113" t="s">
        <v>84</v>
      </c>
    </row>
    <row r="114" spans="1:7" x14ac:dyDescent="0.25">
      <c r="A114" t="s">
        <v>39</v>
      </c>
      <c r="B114" t="s">
        <v>105</v>
      </c>
      <c r="C114" t="s">
        <v>47</v>
      </c>
      <c r="D114">
        <v>16</v>
      </c>
      <c r="E114">
        <v>13</v>
      </c>
      <c r="F114" t="s">
        <v>72</v>
      </c>
      <c r="G114" t="s">
        <v>51</v>
      </c>
    </row>
    <row r="115" spans="1:7" x14ac:dyDescent="0.25">
      <c r="A115" t="s">
        <v>39</v>
      </c>
      <c r="B115" t="s">
        <v>105</v>
      </c>
      <c r="C115" t="s">
        <v>48</v>
      </c>
      <c r="D115">
        <v>17</v>
      </c>
      <c r="E115">
        <v>13</v>
      </c>
      <c r="F115" t="s">
        <v>72</v>
      </c>
      <c r="G115" t="s">
        <v>50</v>
      </c>
    </row>
    <row r="116" spans="1:7" x14ac:dyDescent="0.25">
      <c r="A116" t="s">
        <v>39</v>
      </c>
      <c r="B116" t="s">
        <v>105</v>
      </c>
      <c r="C116" t="s">
        <v>49</v>
      </c>
      <c r="D116">
        <v>18</v>
      </c>
      <c r="E116">
        <v>13</v>
      </c>
      <c r="F116" t="s">
        <v>72</v>
      </c>
      <c r="G116" t="s">
        <v>52</v>
      </c>
    </row>
    <row r="117" spans="1:7" x14ac:dyDescent="0.25">
      <c r="A117" t="s">
        <v>39</v>
      </c>
      <c r="B117" t="s">
        <v>105</v>
      </c>
      <c r="C117" t="s">
        <v>68</v>
      </c>
      <c r="D117">
        <v>19</v>
      </c>
      <c r="E117">
        <v>250000000</v>
      </c>
      <c r="F117" t="s">
        <v>73</v>
      </c>
      <c r="G117" t="s">
        <v>66</v>
      </c>
    </row>
    <row r="118" spans="1:7" x14ac:dyDescent="0.25">
      <c r="A118" t="s">
        <v>39</v>
      </c>
      <c r="B118" t="s">
        <v>105</v>
      </c>
      <c r="C118" t="s">
        <v>69</v>
      </c>
      <c r="D118">
        <v>20</v>
      </c>
      <c r="E118">
        <v>150000000</v>
      </c>
      <c r="F118" t="s">
        <v>73</v>
      </c>
      <c r="G118" t="s">
        <v>67</v>
      </c>
    </row>
    <row r="119" spans="1:7" x14ac:dyDescent="0.25">
      <c r="A119" t="s">
        <v>39</v>
      </c>
      <c r="B119" t="s">
        <v>105</v>
      </c>
      <c r="C119" t="s">
        <v>89</v>
      </c>
      <c r="D119">
        <v>21</v>
      </c>
      <c r="E119">
        <v>13</v>
      </c>
      <c r="F119" t="s">
        <v>91</v>
      </c>
      <c r="G119" t="s">
        <v>93</v>
      </c>
    </row>
    <row r="120" spans="1:7" x14ac:dyDescent="0.25">
      <c r="A120" t="s">
        <v>39</v>
      </c>
      <c r="B120" t="s">
        <v>105</v>
      </c>
      <c r="C120" t="s">
        <v>90</v>
      </c>
      <c r="D120">
        <v>22</v>
      </c>
      <c r="E120">
        <v>179</v>
      </c>
      <c r="F120" t="s">
        <v>92</v>
      </c>
      <c r="G120" t="s">
        <v>94</v>
      </c>
    </row>
    <row r="121" spans="1:7" x14ac:dyDescent="0.25">
      <c r="A121" t="s">
        <v>39</v>
      </c>
      <c r="B121" t="s">
        <v>105</v>
      </c>
      <c r="C121" t="s">
        <v>95</v>
      </c>
      <c r="D121">
        <v>23</v>
      </c>
      <c r="E121">
        <v>1</v>
      </c>
      <c r="F121" t="s">
        <v>91</v>
      </c>
      <c r="G121" t="s">
        <v>96</v>
      </c>
    </row>
    <row r="122" spans="1:7" x14ac:dyDescent="0.25">
      <c r="A122" t="s">
        <v>39</v>
      </c>
      <c r="B122" t="s">
        <v>107</v>
      </c>
      <c r="C122" t="s">
        <v>59</v>
      </c>
      <c r="D122">
        <v>0</v>
      </c>
      <c r="E122">
        <v>2</v>
      </c>
      <c r="F122" t="s">
        <v>43</v>
      </c>
      <c r="G122" t="s">
        <v>74</v>
      </c>
    </row>
    <row r="123" spans="1:7" x14ac:dyDescent="0.25">
      <c r="A123" t="s">
        <v>39</v>
      </c>
      <c r="B123" t="s">
        <v>107</v>
      </c>
      <c r="C123" t="s">
        <v>63</v>
      </c>
      <c r="D123">
        <v>1</v>
      </c>
      <c r="E123">
        <v>1</v>
      </c>
      <c r="F123" t="s">
        <v>43</v>
      </c>
      <c r="G123" t="s">
        <v>75</v>
      </c>
    </row>
    <row r="124" spans="1:7" x14ac:dyDescent="0.25">
      <c r="A124" t="s">
        <v>39</v>
      </c>
      <c r="B124" t="s">
        <v>107</v>
      </c>
      <c r="C124" t="s">
        <v>54</v>
      </c>
      <c r="D124">
        <v>2</v>
      </c>
      <c r="E124">
        <v>2</v>
      </c>
      <c r="F124" t="s">
        <v>43</v>
      </c>
      <c r="G124" t="s">
        <v>76</v>
      </c>
    </row>
    <row r="125" spans="1:7" x14ac:dyDescent="0.25">
      <c r="A125" t="s">
        <v>39</v>
      </c>
      <c r="B125" t="s">
        <v>107</v>
      </c>
      <c r="C125" t="s">
        <v>55</v>
      </c>
      <c r="D125">
        <v>3</v>
      </c>
      <c r="E125">
        <v>2</v>
      </c>
      <c r="F125" t="s">
        <v>43</v>
      </c>
      <c r="G125" t="s">
        <v>77</v>
      </c>
    </row>
    <row r="126" spans="1:7" x14ac:dyDescent="0.25">
      <c r="A126" t="s">
        <v>39</v>
      </c>
      <c r="B126" t="s">
        <v>107</v>
      </c>
      <c r="C126" t="s">
        <v>56</v>
      </c>
      <c r="D126">
        <v>4</v>
      </c>
      <c r="E126">
        <v>2</v>
      </c>
      <c r="F126" t="s">
        <v>43</v>
      </c>
      <c r="G126" t="s">
        <v>78</v>
      </c>
    </row>
    <row r="127" spans="1:7" x14ac:dyDescent="0.25">
      <c r="A127" t="s">
        <v>39</v>
      </c>
      <c r="B127" t="s">
        <v>107</v>
      </c>
      <c r="C127" t="s">
        <v>64</v>
      </c>
      <c r="D127">
        <v>5</v>
      </c>
      <c r="E127">
        <v>22000</v>
      </c>
      <c r="F127" t="s">
        <v>41</v>
      </c>
      <c r="G127" t="s">
        <v>86</v>
      </c>
    </row>
    <row r="128" spans="1:7" x14ac:dyDescent="0.25">
      <c r="A128" t="s">
        <v>39</v>
      </c>
      <c r="B128" t="s">
        <v>107</v>
      </c>
      <c r="C128" t="s">
        <v>61</v>
      </c>
      <c r="D128">
        <v>6</v>
      </c>
      <c r="E128">
        <v>0</v>
      </c>
      <c r="F128" t="s">
        <v>42</v>
      </c>
      <c r="G128" t="s">
        <v>79</v>
      </c>
    </row>
    <row r="129" spans="1:7" x14ac:dyDescent="0.25">
      <c r="A129" t="s">
        <v>39</v>
      </c>
      <c r="B129" t="s">
        <v>107</v>
      </c>
      <c r="C129" t="s">
        <v>62</v>
      </c>
      <c r="D129">
        <v>7</v>
      </c>
      <c r="E129">
        <v>3</v>
      </c>
      <c r="F129" t="s">
        <v>72</v>
      </c>
      <c r="G129" t="s">
        <v>80</v>
      </c>
    </row>
    <row r="130" spans="1:7" x14ac:dyDescent="0.25">
      <c r="A130" t="s">
        <v>39</v>
      </c>
      <c r="B130" t="s">
        <v>107</v>
      </c>
      <c r="C130" t="s">
        <v>65</v>
      </c>
      <c r="D130">
        <v>8</v>
      </c>
      <c r="E130">
        <v>0.06</v>
      </c>
      <c r="F130" t="s">
        <v>42</v>
      </c>
      <c r="G130" t="s">
        <v>85</v>
      </c>
    </row>
    <row r="131" spans="1:7" x14ac:dyDescent="0.25">
      <c r="A131" t="s">
        <v>39</v>
      </c>
      <c r="B131" t="s">
        <v>107</v>
      </c>
      <c r="C131" t="s">
        <v>58</v>
      </c>
      <c r="D131">
        <v>9</v>
      </c>
      <c r="E131">
        <v>1</v>
      </c>
      <c r="F131" t="s">
        <v>43</v>
      </c>
      <c r="G131" t="s">
        <v>125</v>
      </c>
    </row>
    <row r="132" spans="1:7" x14ac:dyDescent="0.25">
      <c r="A132" t="s">
        <v>39</v>
      </c>
      <c r="B132" t="s">
        <v>107</v>
      </c>
      <c r="C132" t="s">
        <v>60</v>
      </c>
      <c r="D132">
        <v>10</v>
      </c>
      <c r="E132">
        <v>1</v>
      </c>
      <c r="F132" t="s">
        <v>43</v>
      </c>
      <c r="G132" t="s">
        <v>126</v>
      </c>
    </row>
    <row r="133" spans="1:7" x14ac:dyDescent="0.25">
      <c r="A133" t="s">
        <v>39</v>
      </c>
      <c r="B133" t="s">
        <v>107</v>
      </c>
      <c r="C133" t="s">
        <v>57</v>
      </c>
      <c r="D133">
        <v>11</v>
      </c>
      <c r="E133">
        <v>1</v>
      </c>
      <c r="F133" t="s">
        <v>43</v>
      </c>
      <c r="G133" t="s">
        <v>81</v>
      </c>
    </row>
    <row r="134" spans="1:7" x14ac:dyDescent="0.25">
      <c r="A134" t="s">
        <v>39</v>
      </c>
      <c r="B134" t="s">
        <v>107</v>
      </c>
      <c r="C134" t="s">
        <v>40</v>
      </c>
      <c r="D134">
        <v>12</v>
      </c>
      <c r="E134">
        <v>0.7</v>
      </c>
      <c r="F134" t="s">
        <v>43</v>
      </c>
      <c r="G134" t="s">
        <v>82</v>
      </c>
    </row>
    <row r="135" spans="1:7" x14ac:dyDescent="0.25">
      <c r="A135" t="s">
        <v>39</v>
      </c>
      <c r="B135" t="s">
        <v>107</v>
      </c>
      <c r="C135" t="s">
        <v>70</v>
      </c>
      <c r="D135">
        <v>13</v>
      </c>
      <c r="E135">
        <v>16</v>
      </c>
      <c r="F135" t="s">
        <v>44</v>
      </c>
      <c r="G135" t="s">
        <v>83</v>
      </c>
    </row>
    <row r="136" spans="1:7" x14ac:dyDescent="0.25">
      <c r="A136" t="s">
        <v>39</v>
      </c>
      <c r="B136" t="s">
        <v>107</v>
      </c>
      <c r="C136" t="s">
        <v>45</v>
      </c>
      <c r="D136">
        <v>14</v>
      </c>
      <c r="E136">
        <v>13</v>
      </c>
      <c r="F136" t="s">
        <v>72</v>
      </c>
      <c r="G136" t="s">
        <v>46</v>
      </c>
    </row>
    <row r="137" spans="1:7" x14ac:dyDescent="0.25">
      <c r="A137" t="s">
        <v>39</v>
      </c>
      <c r="B137" t="s">
        <v>107</v>
      </c>
      <c r="C137" t="s">
        <v>53</v>
      </c>
      <c r="D137">
        <v>15</v>
      </c>
      <c r="E137">
        <v>13</v>
      </c>
      <c r="F137" t="s">
        <v>72</v>
      </c>
      <c r="G137" t="s">
        <v>84</v>
      </c>
    </row>
    <row r="138" spans="1:7" x14ac:dyDescent="0.25">
      <c r="A138" t="s">
        <v>39</v>
      </c>
      <c r="B138" t="s">
        <v>107</v>
      </c>
      <c r="C138" t="s">
        <v>47</v>
      </c>
      <c r="D138">
        <v>16</v>
      </c>
      <c r="E138">
        <v>4</v>
      </c>
      <c r="F138" t="s">
        <v>72</v>
      </c>
      <c r="G138" t="s">
        <v>51</v>
      </c>
    </row>
    <row r="139" spans="1:7" x14ac:dyDescent="0.25">
      <c r="A139" t="s">
        <v>39</v>
      </c>
      <c r="B139" t="s">
        <v>107</v>
      </c>
      <c r="C139" t="s">
        <v>48</v>
      </c>
      <c r="D139">
        <v>17</v>
      </c>
      <c r="E139">
        <v>3</v>
      </c>
      <c r="F139" t="s">
        <v>72</v>
      </c>
      <c r="G139" t="s">
        <v>50</v>
      </c>
    </row>
    <row r="140" spans="1:7" x14ac:dyDescent="0.25">
      <c r="A140" t="s">
        <v>39</v>
      </c>
      <c r="B140" t="s">
        <v>107</v>
      </c>
      <c r="C140" t="s">
        <v>49</v>
      </c>
      <c r="D140">
        <v>18</v>
      </c>
      <c r="E140">
        <v>5</v>
      </c>
      <c r="F140" t="s">
        <v>72</v>
      </c>
      <c r="G140" t="s">
        <v>52</v>
      </c>
    </row>
    <row r="141" spans="1:7" x14ac:dyDescent="0.25">
      <c r="A141" t="s">
        <v>39</v>
      </c>
      <c r="B141" t="s">
        <v>107</v>
      </c>
      <c r="C141" t="s">
        <v>68</v>
      </c>
      <c r="D141">
        <v>19</v>
      </c>
      <c r="E141">
        <v>250000000</v>
      </c>
      <c r="F141" t="s">
        <v>73</v>
      </c>
      <c r="G141" t="s">
        <v>66</v>
      </c>
    </row>
    <row r="142" spans="1:7" x14ac:dyDescent="0.25">
      <c r="A142" t="s">
        <v>39</v>
      </c>
      <c r="B142" t="s">
        <v>107</v>
      </c>
      <c r="C142" t="s">
        <v>69</v>
      </c>
      <c r="D142">
        <v>20</v>
      </c>
      <c r="E142">
        <v>150000000</v>
      </c>
      <c r="F142" t="s">
        <v>73</v>
      </c>
      <c r="G142" t="s">
        <v>67</v>
      </c>
    </row>
    <row r="143" spans="1:7" x14ac:dyDescent="0.25">
      <c r="A143" t="s">
        <v>39</v>
      </c>
      <c r="B143" t="s">
        <v>107</v>
      </c>
      <c r="C143" t="s">
        <v>89</v>
      </c>
      <c r="D143">
        <v>21</v>
      </c>
      <c r="E143">
        <v>13</v>
      </c>
      <c r="F143" t="s">
        <v>91</v>
      </c>
      <c r="G143" t="s">
        <v>93</v>
      </c>
    </row>
    <row r="144" spans="1:7" x14ac:dyDescent="0.25">
      <c r="A144" t="s">
        <v>39</v>
      </c>
      <c r="B144" t="s">
        <v>107</v>
      </c>
      <c r="C144" t="s">
        <v>90</v>
      </c>
      <c r="D144">
        <v>22</v>
      </c>
      <c r="E144">
        <v>179</v>
      </c>
      <c r="F144" t="s">
        <v>92</v>
      </c>
      <c r="G144" t="s">
        <v>94</v>
      </c>
    </row>
    <row r="145" spans="1:7" x14ac:dyDescent="0.25">
      <c r="A145" t="s">
        <v>39</v>
      </c>
      <c r="B145" t="s">
        <v>107</v>
      </c>
      <c r="C145" t="s">
        <v>95</v>
      </c>
      <c r="D145">
        <v>23</v>
      </c>
      <c r="E145">
        <v>1</v>
      </c>
      <c r="F145" t="s">
        <v>91</v>
      </c>
      <c r="G145" t="s">
        <v>96</v>
      </c>
    </row>
    <row r="146" spans="1:7" x14ac:dyDescent="0.25">
      <c r="A146" t="s">
        <v>39</v>
      </c>
      <c r="B146" t="s">
        <v>108</v>
      </c>
      <c r="C146" t="s">
        <v>59</v>
      </c>
      <c r="D146">
        <v>0</v>
      </c>
      <c r="E146" t="s">
        <v>130</v>
      </c>
      <c r="F146" t="s">
        <v>43</v>
      </c>
      <c r="G146" t="s">
        <v>74</v>
      </c>
    </row>
    <row r="147" spans="1:7" x14ac:dyDescent="0.25">
      <c r="A147" t="s">
        <v>39</v>
      </c>
      <c r="B147" t="s">
        <v>108</v>
      </c>
      <c r="C147" t="s">
        <v>63</v>
      </c>
      <c r="D147">
        <v>1</v>
      </c>
      <c r="E147" t="s">
        <v>131</v>
      </c>
      <c r="F147" t="s">
        <v>43</v>
      </c>
      <c r="G147" t="s">
        <v>75</v>
      </c>
    </row>
    <row r="148" spans="1:7" x14ac:dyDescent="0.25">
      <c r="A148" t="s">
        <v>39</v>
      </c>
      <c r="B148" t="s">
        <v>108</v>
      </c>
      <c r="C148" t="s">
        <v>54</v>
      </c>
      <c r="D148">
        <v>2</v>
      </c>
      <c r="E148" t="s">
        <v>132</v>
      </c>
      <c r="F148" t="s">
        <v>43</v>
      </c>
      <c r="G148" t="s">
        <v>76</v>
      </c>
    </row>
    <row r="149" spans="1:7" x14ac:dyDescent="0.25">
      <c r="A149" t="s">
        <v>39</v>
      </c>
      <c r="B149" t="s">
        <v>108</v>
      </c>
      <c r="C149" t="s">
        <v>55</v>
      </c>
      <c r="D149">
        <v>3</v>
      </c>
      <c r="E149" t="s">
        <v>132</v>
      </c>
      <c r="F149" t="s">
        <v>43</v>
      </c>
      <c r="G149" t="s">
        <v>77</v>
      </c>
    </row>
    <row r="150" spans="1:7" x14ac:dyDescent="0.25">
      <c r="A150" t="s">
        <v>39</v>
      </c>
      <c r="B150" t="s">
        <v>108</v>
      </c>
      <c r="C150" t="s">
        <v>56</v>
      </c>
      <c r="D150">
        <v>4</v>
      </c>
      <c r="E150" t="s">
        <v>130</v>
      </c>
      <c r="F150" t="s">
        <v>43</v>
      </c>
      <c r="G150" t="s">
        <v>78</v>
      </c>
    </row>
    <row r="151" spans="1:7" x14ac:dyDescent="0.25">
      <c r="A151" t="s">
        <v>39</v>
      </c>
      <c r="B151" t="s">
        <v>108</v>
      </c>
      <c r="C151" t="s">
        <v>64</v>
      </c>
      <c r="D151">
        <v>5</v>
      </c>
      <c r="E151" t="s">
        <v>138</v>
      </c>
      <c r="F151" t="s">
        <v>41</v>
      </c>
      <c r="G151" t="s">
        <v>86</v>
      </c>
    </row>
    <row r="152" spans="1:7" x14ac:dyDescent="0.25">
      <c r="A152" t="s">
        <v>39</v>
      </c>
      <c r="B152" t="s">
        <v>108</v>
      </c>
      <c r="C152" t="s">
        <v>61</v>
      </c>
      <c r="D152">
        <v>6</v>
      </c>
      <c r="E152" t="s">
        <v>139</v>
      </c>
      <c r="F152" t="s">
        <v>42</v>
      </c>
      <c r="G152" t="s">
        <v>79</v>
      </c>
    </row>
    <row r="153" spans="1:7" x14ac:dyDescent="0.25">
      <c r="A153" t="s">
        <v>39</v>
      </c>
      <c r="B153" t="s">
        <v>108</v>
      </c>
      <c r="C153" t="s">
        <v>62</v>
      </c>
      <c r="D153">
        <v>7</v>
      </c>
      <c r="E153">
        <v>3</v>
      </c>
      <c r="F153" t="s">
        <v>72</v>
      </c>
      <c r="G153" t="s">
        <v>80</v>
      </c>
    </row>
    <row r="154" spans="1:7" x14ac:dyDescent="0.25">
      <c r="A154" t="s">
        <v>39</v>
      </c>
      <c r="B154" t="s">
        <v>108</v>
      </c>
      <c r="C154" t="s">
        <v>65</v>
      </c>
      <c r="D154">
        <v>8</v>
      </c>
      <c r="E154" t="s">
        <v>140</v>
      </c>
      <c r="F154" t="s">
        <v>42</v>
      </c>
      <c r="G154" t="s">
        <v>85</v>
      </c>
    </row>
    <row r="155" spans="1:7" x14ac:dyDescent="0.25">
      <c r="A155" t="s">
        <v>39</v>
      </c>
      <c r="B155" t="s">
        <v>108</v>
      </c>
      <c r="C155" t="s">
        <v>58</v>
      </c>
      <c r="D155">
        <v>9</v>
      </c>
      <c r="E155" t="s">
        <v>127</v>
      </c>
      <c r="F155" t="s">
        <v>43</v>
      </c>
      <c r="G155" t="s">
        <v>125</v>
      </c>
    </row>
    <row r="156" spans="1:7" x14ac:dyDescent="0.25">
      <c r="A156" t="s">
        <v>39</v>
      </c>
      <c r="B156" t="s">
        <v>108</v>
      </c>
      <c r="C156" t="s">
        <v>60</v>
      </c>
      <c r="D156">
        <v>10</v>
      </c>
      <c r="E156" t="s">
        <v>127</v>
      </c>
      <c r="F156" t="s">
        <v>43</v>
      </c>
      <c r="G156" t="s">
        <v>126</v>
      </c>
    </row>
    <row r="157" spans="1:7" x14ac:dyDescent="0.25">
      <c r="A157" t="s">
        <v>39</v>
      </c>
      <c r="B157" t="s">
        <v>108</v>
      </c>
      <c r="C157" t="s">
        <v>57</v>
      </c>
      <c r="D157">
        <v>11</v>
      </c>
      <c r="E157" t="s">
        <v>127</v>
      </c>
      <c r="F157" t="s">
        <v>43</v>
      </c>
      <c r="G157" t="s">
        <v>81</v>
      </c>
    </row>
    <row r="158" spans="1:7" x14ac:dyDescent="0.25">
      <c r="A158" t="s">
        <v>39</v>
      </c>
      <c r="B158" t="s">
        <v>108</v>
      </c>
      <c r="C158" t="s">
        <v>40</v>
      </c>
      <c r="D158">
        <v>12</v>
      </c>
      <c r="E158" t="s">
        <v>133</v>
      </c>
      <c r="F158" t="s">
        <v>43</v>
      </c>
      <c r="G158" t="s">
        <v>82</v>
      </c>
    </row>
    <row r="159" spans="1:7" x14ac:dyDescent="0.25">
      <c r="A159" t="s">
        <v>39</v>
      </c>
      <c r="B159" t="s">
        <v>108</v>
      </c>
      <c r="C159" t="s">
        <v>70</v>
      </c>
      <c r="D159">
        <v>13</v>
      </c>
      <c r="E159" t="s">
        <v>134</v>
      </c>
      <c r="F159" t="s">
        <v>44</v>
      </c>
      <c r="G159" t="s">
        <v>83</v>
      </c>
    </row>
    <row r="160" spans="1:7" x14ac:dyDescent="0.25">
      <c r="A160" t="s">
        <v>39</v>
      </c>
      <c r="B160" t="s">
        <v>108</v>
      </c>
      <c r="C160" t="s">
        <v>45</v>
      </c>
      <c r="D160">
        <v>14</v>
      </c>
      <c r="E160">
        <v>13</v>
      </c>
      <c r="F160" t="s">
        <v>72</v>
      </c>
      <c r="G160" t="s">
        <v>46</v>
      </c>
    </row>
    <row r="161" spans="1:7" x14ac:dyDescent="0.25">
      <c r="A161" t="s">
        <v>39</v>
      </c>
      <c r="B161" t="s">
        <v>108</v>
      </c>
      <c r="C161" t="s">
        <v>53</v>
      </c>
      <c r="D161">
        <v>15</v>
      </c>
      <c r="E161">
        <v>1</v>
      </c>
      <c r="F161" t="s">
        <v>72</v>
      </c>
      <c r="G161" t="s">
        <v>84</v>
      </c>
    </row>
    <row r="162" spans="1:7" x14ac:dyDescent="0.25">
      <c r="A162" t="s">
        <v>39</v>
      </c>
      <c r="B162" t="s">
        <v>108</v>
      </c>
      <c r="C162" t="s">
        <v>47</v>
      </c>
      <c r="D162">
        <v>16</v>
      </c>
      <c r="E162" t="s">
        <v>135</v>
      </c>
      <c r="F162" t="s">
        <v>72</v>
      </c>
      <c r="G162" t="s">
        <v>51</v>
      </c>
    </row>
    <row r="163" spans="1:7" x14ac:dyDescent="0.25">
      <c r="A163" t="s">
        <v>39</v>
      </c>
      <c r="B163" t="s">
        <v>108</v>
      </c>
      <c r="C163" t="s">
        <v>48</v>
      </c>
      <c r="D163">
        <v>17</v>
      </c>
      <c r="E163" t="s">
        <v>136</v>
      </c>
      <c r="F163" t="s">
        <v>72</v>
      </c>
      <c r="G163" t="s">
        <v>50</v>
      </c>
    </row>
    <row r="164" spans="1:7" x14ac:dyDescent="0.25">
      <c r="A164" t="s">
        <v>39</v>
      </c>
      <c r="B164" t="s">
        <v>108</v>
      </c>
      <c r="C164" t="s">
        <v>49</v>
      </c>
      <c r="D164">
        <v>18</v>
      </c>
      <c r="E164" t="s">
        <v>137</v>
      </c>
      <c r="F164" t="s">
        <v>72</v>
      </c>
      <c r="G164" t="s">
        <v>52</v>
      </c>
    </row>
    <row r="165" spans="1:7" x14ac:dyDescent="0.25">
      <c r="A165" t="s">
        <v>39</v>
      </c>
      <c r="B165" t="s">
        <v>108</v>
      </c>
      <c r="C165" t="s">
        <v>68</v>
      </c>
      <c r="D165">
        <v>19</v>
      </c>
      <c r="E165">
        <v>250000000</v>
      </c>
      <c r="F165" t="s">
        <v>73</v>
      </c>
      <c r="G165" t="s">
        <v>66</v>
      </c>
    </row>
    <row r="166" spans="1:7" x14ac:dyDescent="0.25">
      <c r="A166" t="s">
        <v>39</v>
      </c>
      <c r="B166" t="s">
        <v>108</v>
      </c>
      <c r="C166" t="s">
        <v>69</v>
      </c>
      <c r="D166">
        <v>20</v>
      </c>
      <c r="E166">
        <v>150000000</v>
      </c>
      <c r="F166" t="s">
        <v>73</v>
      </c>
      <c r="G166" t="s">
        <v>67</v>
      </c>
    </row>
    <row r="167" spans="1:7" x14ac:dyDescent="0.25">
      <c r="A167" t="s">
        <v>39</v>
      </c>
      <c r="B167" t="s">
        <v>108</v>
      </c>
      <c r="C167" t="s">
        <v>89</v>
      </c>
      <c r="D167">
        <v>21</v>
      </c>
      <c r="E167">
        <v>13</v>
      </c>
      <c r="F167" t="s">
        <v>91</v>
      </c>
      <c r="G167" t="s">
        <v>93</v>
      </c>
    </row>
    <row r="168" spans="1:7" x14ac:dyDescent="0.25">
      <c r="A168" t="s">
        <v>39</v>
      </c>
      <c r="B168" t="s">
        <v>108</v>
      </c>
      <c r="C168" t="s">
        <v>90</v>
      </c>
      <c r="D168">
        <v>22</v>
      </c>
      <c r="E168">
        <v>179</v>
      </c>
      <c r="F168" t="s">
        <v>92</v>
      </c>
      <c r="G168" t="s">
        <v>94</v>
      </c>
    </row>
    <row r="169" spans="1:7" x14ac:dyDescent="0.25">
      <c r="A169" t="s">
        <v>39</v>
      </c>
      <c r="B169" t="s">
        <v>108</v>
      </c>
      <c r="C169" t="s">
        <v>95</v>
      </c>
      <c r="D169">
        <v>23</v>
      </c>
      <c r="E169">
        <v>1</v>
      </c>
      <c r="F169" t="s">
        <v>91</v>
      </c>
      <c r="G169" t="s">
        <v>96</v>
      </c>
    </row>
    <row r="170" spans="1:7" x14ac:dyDescent="0.25">
      <c r="A170" t="s">
        <v>39</v>
      </c>
      <c r="B170" t="s">
        <v>109</v>
      </c>
      <c r="C170" t="s">
        <v>59</v>
      </c>
      <c r="D170">
        <v>0</v>
      </c>
      <c r="E170" t="s">
        <v>130</v>
      </c>
      <c r="F170" t="s">
        <v>43</v>
      </c>
      <c r="G170" t="s">
        <v>74</v>
      </c>
    </row>
    <row r="171" spans="1:7" x14ac:dyDescent="0.25">
      <c r="A171" t="s">
        <v>39</v>
      </c>
      <c r="B171" t="s">
        <v>109</v>
      </c>
      <c r="C171" t="s">
        <v>63</v>
      </c>
      <c r="D171">
        <v>1</v>
      </c>
      <c r="E171" t="s">
        <v>131</v>
      </c>
      <c r="F171" t="s">
        <v>43</v>
      </c>
      <c r="G171" t="s">
        <v>75</v>
      </c>
    </row>
    <row r="172" spans="1:7" x14ac:dyDescent="0.25">
      <c r="A172" t="s">
        <v>39</v>
      </c>
      <c r="B172" t="s">
        <v>109</v>
      </c>
      <c r="C172" t="s">
        <v>54</v>
      </c>
      <c r="D172">
        <v>2</v>
      </c>
      <c r="E172" t="s">
        <v>132</v>
      </c>
      <c r="F172" t="s">
        <v>43</v>
      </c>
      <c r="G172" t="s">
        <v>76</v>
      </c>
    </row>
    <row r="173" spans="1:7" x14ac:dyDescent="0.25">
      <c r="A173" t="s">
        <v>39</v>
      </c>
      <c r="B173" t="s">
        <v>109</v>
      </c>
      <c r="C173" t="s">
        <v>55</v>
      </c>
      <c r="D173">
        <v>3</v>
      </c>
      <c r="E173" t="s">
        <v>132</v>
      </c>
      <c r="F173" t="s">
        <v>43</v>
      </c>
      <c r="G173" t="s">
        <v>77</v>
      </c>
    </row>
    <row r="174" spans="1:7" x14ac:dyDescent="0.25">
      <c r="A174" t="s">
        <v>39</v>
      </c>
      <c r="B174" t="s">
        <v>109</v>
      </c>
      <c r="C174" t="s">
        <v>56</v>
      </c>
      <c r="D174">
        <v>4</v>
      </c>
      <c r="E174" t="s">
        <v>130</v>
      </c>
      <c r="F174" t="s">
        <v>43</v>
      </c>
      <c r="G174" t="s">
        <v>78</v>
      </c>
    </row>
    <row r="175" spans="1:7" x14ac:dyDescent="0.25">
      <c r="A175" t="s">
        <v>39</v>
      </c>
      <c r="B175" t="s">
        <v>109</v>
      </c>
      <c r="C175" t="s">
        <v>64</v>
      </c>
      <c r="D175">
        <v>5</v>
      </c>
      <c r="E175" t="s">
        <v>138</v>
      </c>
      <c r="F175" t="s">
        <v>41</v>
      </c>
      <c r="G175" t="s">
        <v>86</v>
      </c>
    </row>
    <row r="176" spans="1:7" x14ac:dyDescent="0.25">
      <c r="A176" t="s">
        <v>39</v>
      </c>
      <c r="B176" t="s">
        <v>109</v>
      </c>
      <c r="C176" t="s">
        <v>61</v>
      </c>
      <c r="D176">
        <v>6</v>
      </c>
      <c r="E176" t="s">
        <v>139</v>
      </c>
      <c r="F176" t="s">
        <v>42</v>
      </c>
      <c r="G176" t="s">
        <v>79</v>
      </c>
    </row>
    <row r="177" spans="1:7" x14ac:dyDescent="0.25">
      <c r="A177" t="s">
        <v>39</v>
      </c>
      <c r="B177" t="s">
        <v>109</v>
      </c>
      <c r="C177" t="s">
        <v>62</v>
      </c>
      <c r="D177">
        <v>7</v>
      </c>
      <c r="E177">
        <v>3</v>
      </c>
      <c r="F177" t="s">
        <v>72</v>
      </c>
      <c r="G177" t="s">
        <v>80</v>
      </c>
    </row>
    <row r="178" spans="1:7" x14ac:dyDescent="0.25">
      <c r="A178" t="s">
        <v>39</v>
      </c>
      <c r="B178" t="s">
        <v>109</v>
      </c>
      <c r="C178" t="s">
        <v>65</v>
      </c>
      <c r="D178">
        <v>8</v>
      </c>
      <c r="E178" t="s">
        <v>140</v>
      </c>
      <c r="F178" t="s">
        <v>42</v>
      </c>
      <c r="G178" t="s">
        <v>85</v>
      </c>
    </row>
    <row r="179" spans="1:7" x14ac:dyDescent="0.25">
      <c r="A179" t="s">
        <v>39</v>
      </c>
      <c r="B179" t="s">
        <v>109</v>
      </c>
      <c r="C179" t="s">
        <v>58</v>
      </c>
      <c r="D179">
        <v>9</v>
      </c>
      <c r="E179" t="s">
        <v>127</v>
      </c>
      <c r="F179" t="s">
        <v>43</v>
      </c>
      <c r="G179" t="s">
        <v>125</v>
      </c>
    </row>
    <row r="180" spans="1:7" x14ac:dyDescent="0.25">
      <c r="A180" t="s">
        <v>39</v>
      </c>
      <c r="B180" t="s">
        <v>109</v>
      </c>
      <c r="C180" t="s">
        <v>60</v>
      </c>
      <c r="D180">
        <v>10</v>
      </c>
      <c r="E180" t="s">
        <v>127</v>
      </c>
      <c r="F180" t="s">
        <v>43</v>
      </c>
      <c r="G180" t="s">
        <v>126</v>
      </c>
    </row>
    <row r="181" spans="1:7" x14ac:dyDescent="0.25">
      <c r="A181" t="s">
        <v>39</v>
      </c>
      <c r="B181" t="s">
        <v>109</v>
      </c>
      <c r="C181" t="s">
        <v>57</v>
      </c>
      <c r="D181">
        <v>11</v>
      </c>
      <c r="E181" t="s">
        <v>127</v>
      </c>
      <c r="F181" t="s">
        <v>43</v>
      </c>
      <c r="G181" t="s">
        <v>81</v>
      </c>
    </row>
    <row r="182" spans="1:7" x14ac:dyDescent="0.25">
      <c r="A182" t="s">
        <v>39</v>
      </c>
      <c r="B182" t="s">
        <v>109</v>
      </c>
      <c r="C182" t="s">
        <v>40</v>
      </c>
      <c r="D182">
        <v>12</v>
      </c>
      <c r="E182" t="s">
        <v>133</v>
      </c>
      <c r="F182" t="s">
        <v>43</v>
      </c>
      <c r="G182" t="s">
        <v>82</v>
      </c>
    </row>
    <row r="183" spans="1:7" x14ac:dyDescent="0.25">
      <c r="A183" t="s">
        <v>39</v>
      </c>
      <c r="B183" t="s">
        <v>109</v>
      </c>
      <c r="C183" t="s">
        <v>70</v>
      </c>
      <c r="D183">
        <v>13</v>
      </c>
      <c r="E183" t="s">
        <v>134</v>
      </c>
      <c r="F183" t="s">
        <v>44</v>
      </c>
      <c r="G183" t="s">
        <v>83</v>
      </c>
    </row>
    <row r="184" spans="1:7" x14ac:dyDescent="0.25">
      <c r="A184" t="s">
        <v>39</v>
      </c>
      <c r="B184" t="s">
        <v>109</v>
      </c>
      <c r="C184" t="s">
        <v>45</v>
      </c>
      <c r="D184">
        <v>14</v>
      </c>
      <c r="E184">
        <v>13</v>
      </c>
      <c r="F184" t="s">
        <v>72</v>
      </c>
      <c r="G184" t="s">
        <v>46</v>
      </c>
    </row>
    <row r="185" spans="1:7" x14ac:dyDescent="0.25">
      <c r="A185" t="s">
        <v>39</v>
      </c>
      <c r="B185" t="s">
        <v>109</v>
      </c>
      <c r="C185" t="s">
        <v>53</v>
      </c>
      <c r="D185">
        <v>15</v>
      </c>
      <c r="E185">
        <v>13</v>
      </c>
      <c r="F185" t="s">
        <v>72</v>
      </c>
      <c r="G185" t="s">
        <v>84</v>
      </c>
    </row>
    <row r="186" spans="1:7" x14ac:dyDescent="0.25">
      <c r="A186" t="s">
        <v>39</v>
      </c>
      <c r="B186" t="s">
        <v>109</v>
      </c>
      <c r="C186" t="s">
        <v>47</v>
      </c>
      <c r="D186">
        <v>16</v>
      </c>
      <c r="E186" t="s">
        <v>135</v>
      </c>
      <c r="F186" t="s">
        <v>72</v>
      </c>
      <c r="G186" t="s">
        <v>51</v>
      </c>
    </row>
    <row r="187" spans="1:7" x14ac:dyDescent="0.25">
      <c r="A187" t="s">
        <v>39</v>
      </c>
      <c r="B187" t="s">
        <v>109</v>
      </c>
      <c r="C187" t="s">
        <v>48</v>
      </c>
      <c r="D187">
        <v>17</v>
      </c>
      <c r="E187" t="s">
        <v>136</v>
      </c>
      <c r="F187" t="s">
        <v>72</v>
      </c>
      <c r="G187" t="s">
        <v>50</v>
      </c>
    </row>
    <row r="188" spans="1:7" x14ac:dyDescent="0.25">
      <c r="A188" t="s">
        <v>39</v>
      </c>
      <c r="B188" t="s">
        <v>109</v>
      </c>
      <c r="C188" t="s">
        <v>49</v>
      </c>
      <c r="D188">
        <v>18</v>
      </c>
      <c r="E188" t="s">
        <v>137</v>
      </c>
      <c r="F188" t="s">
        <v>72</v>
      </c>
      <c r="G188" t="s">
        <v>52</v>
      </c>
    </row>
    <row r="189" spans="1:7" x14ac:dyDescent="0.25">
      <c r="A189" t="s">
        <v>39</v>
      </c>
      <c r="B189" t="s">
        <v>109</v>
      </c>
      <c r="C189" t="s">
        <v>68</v>
      </c>
      <c r="D189">
        <v>19</v>
      </c>
      <c r="E189">
        <v>250000000</v>
      </c>
      <c r="F189" t="s">
        <v>73</v>
      </c>
      <c r="G189" t="s">
        <v>66</v>
      </c>
    </row>
    <row r="190" spans="1:7" x14ac:dyDescent="0.25">
      <c r="A190" t="s">
        <v>39</v>
      </c>
      <c r="B190" t="s">
        <v>109</v>
      </c>
      <c r="C190" t="s">
        <v>69</v>
      </c>
      <c r="D190">
        <v>20</v>
      </c>
      <c r="E190">
        <v>150000000</v>
      </c>
      <c r="F190" t="s">
        <v>73</v>
      </c>
      <c r="G190" t="s">
        <v>67</v>
      </c>
    </row>
    <row r="191" spans="1:7" x14ac:dyDescent="0.25">
      <c r="A191" t="s">
        <v>39</v>
      </c>
      <c r="B191" t="s">
        <v>109</v>
      </c>
      <c r="C191" t="s">
        <v>89</v>
      </c>
      <c r="D191">
        <v>21</v>
      </c>
      <c r="E191">
        <v>13</v>
      </c>
      <c r="F191" t="s">
        <v>91</v>
      </c>
      <c r="G191" t="s">
        <v>93</v>
      </c>
    </row>
    <row r="192" spans="1:7" x14ac:dyDescent="0.25">
      <c r="A192" t="s">
        <v>39</v>
      </c>
      <c r="B192" t="s">
        <v>109</v>
      </c>
      <c r="C192" t="s">
        <v>90</v>
      </c>
      <c r="D192">
        <v>22</v>
      </c>
      <c r="E192">
        <v>179</v>
      </c>
      <c r="F192" t="s">
        <v>92</v>
      </c>
      <c r="G192" t="s">
        <v>94</v>
      </c>
    </row>
    <row r="193" spans="1:7" x14ac:dyDescent="0.25">
      <c r="A193" t="s">
        <v>39</v>
      </c>
      <c r="B193" t="s">
        <v>109</v>
      </c>
      <c r="C193" t="s">
        <v>95</v>
      </c>
      <c r="D193">
        <v>23</v>
      </c>
      <c r="E193">
        <v>1</v>
      </c>
      <c r="F193" t="s">
        <v>91</v>
      </c>
      <c r="G193" t="s">
        <v>96</v>
      </c>
    </row>
    <row r="194" spans="1:7" x14ac:dyDescent="0.25">
      <c r="A194" t="s">
        <v>39</v>
      </c>
      <c r="B194" t="s">
        <v>129</v>
      </c>
      <c r="C194" t="s">
        <v>59</v>
      </c>
      <c r="D194">
        <v>0</v>
      </c>
      <c r="E194" t="s">
        <v>130</v>
      </c>
      <c r="F194" t="s">
        <v>43</v>
      </c>
      <c r="G194" t="s">
        <v>74</v>
      </c>
    </row>
    <row r="195" spans="1:7" x14ac:dyDescent="0.25">
      <c r="A195" t="s">
        <v>39</v>
      </c>
      <c r="B195" t="s">
        <v>129</v>
      </c>
      <c r="C195" t="s">
        <v>63</v>
      </c>
      <c r="D195">
        <v>1</v>
      </c>
      <c r="E195" t="s">
        <v>131</v>
      </c>
      <c r="F195" t="s">
        <v>43</v>
      </c>
      <c r="G195" t="s">
        <v>75</v>
      </c>
    </row>
    <row r="196" spans="1:7" x14ac:dyDescent="0.25">
      <c r="A196" t="s">
        <v>39</v>
      </c>
      <c r="B196" t="s">
        <v>129</v>
      </c>
      <c r="C196" t="s">
        <v>54</v>
      </c>
      <c r="D196">
        <v>2</v>
      </c>
      <c r="E196" t="s">
        <v>132</v>
      </c>
      <c r="F196" t="s">
        <v>43</v>
      </c>
      <c r="G196" t="s">
        <v>76</v>
      </c>
    </row>
    <row r="197" spans="1:7" x14ac:dyDescent="0.25">
      <c r="A197" t="s">
        <v>39</v>
      </c>
      <c r="B197" t="s">
        <v>129</v>
      </c>
      <c r="C197" t="s">
        <v>55</v>
      </c>
      <c r="D197">
        <v>3</v>
      </c>
      <c r="E197" t="s">
        <v>132</v>
      </c>
      <c r="F197" t="s">
        <v>43</v>
      </c>
      <c r="G197" t="s">
        <v>77</v>
      </c>
    </row>
    <row r="198" spans="1:7" x14ac:dyDescent="0.25">
      <c r="A198" t="s">
        <v>39</v>
      </c>
      <c r="B198" t="s">
        <v>129</v>
      </c>
      <c r="C198" t="s">
        <v>56</v>
      </c>
      <c r="D198">
        <v>4</v>
      </c>
      <c r="E198" t="s">
        <v>130</v>
      </c>
      <c r="F198" t="s">
        <v>43</v>
      </c>
      <c r="G198" t="s">
        <v>78</v>
      </c>
    </row>
    <row r="199" spans="1:7" x14ac:dyDescent="0.25">
      <c r="A199" t="s">
        <v>39</v>
      </c>
      <c r="B199" t="s">
        <v>129</v>
      </c>
      <c r="C199" t="s">
        <v>64</v>
      </c>
      <c r="D199">
        <v>5</v>
      </c>
      <c r="E199" t="s">
        <v>138</v>
      </c>
      <c r="F199" t="s">
        <v>41</v>
      </c>
      <c r="G199" t="s">
        <v>86</v>
      </c>
    </row>
    <row r="200" spans="1:7" x14ac:dyDescent="0.25">
      <c r="A200" t="s">
        <v>39</v>
      </c>
      <c r="B200" t="s">
        <v>129</v>
      </c>
      <c r="C200" t="s">
        <v>61</v>
      </c>
      <c r="D200">
        <v>6</v>
      </c>
      <c r="E200" t="s">
        <v>139</v>
      </c>
      <c r="F200" t="s">
        <v>42</v>
      </c>
      <c r="G200" t="s">
        <v>79</v>
      </c>
    </row>
    <row r="201" spans="1:7" x14ac:dyDescent="0.25">
      <c r="A201" t="s">
        <v>39</v>
      </c>
      <c r="B201" t="s">
        <v>129</v>
      </c>
      <c r="C201" t="s">
        <v>62</v>
      </c>
      <c r="D201">
        <v>7</v>
      </c>
      <c r="E201">
        <v>6</v>
      </c>
      <c r="F201" t="s">
        <v>72</v>
      </c>
      <c r="G201" t="s">
        <v>80</v>
      </c>
    </row>
    <row r="202" spans="1:7" x14ac:dyDescent="0.25">
      <c r="A202" t="s">
        <v>39</v>
      </c>
      <c r="B202" t="s">
        <v>129</v>
      </c>
      <c r="C202" t="s">
        <v>65</v>
      </c>
      <c r="D202">
        <v>8</v>
      </c>
      <c r="E202" t="s">
        <v>140</v>
      </c>
      <c r="F202" t="s">
        <v>42</v>
      </c>
      <c r="G202" t="s">
        <v>85</v>
      </c>
    </row>
    <row r="203" spans="1:7" x14ac:dyDescent="0.25">
      <c r="A203" t="s">
        <v>39</v>
      </c>
      <c r="B203" t="s">
        <v>129</v>
      </c>
      <c r="C203" t="s">
        <v>58</v>
      </c>
      <c r="D203">
        <v>9</v>
      </c>
      <c r="E203" t="s">
        <v>127</v>
      </c>
      <c r="F203" t="s">
        <v>43</v>
      </c>
      <c r="G203" t="s">
        <v>125</v>
      </c>
    </row>
    <row r="204" spans="1:7" x14ac:dyDescent="0.25">
      <c r="A204" t="s">
        <v>39</v>
      </c>
      <c r="B204" t="s">
        <v>129</v>
      </c>
      <c r="C204" t="s">
        <v>60</v>
      </c>
      <c r="D204">
        <v>10</v>
      </c>
      <c r="E204" t="s">
        <v>127</v>
      </c>
      <c r="F204" t="s">
        <v>43</v>
      </c>
      <c r="G204" t="s">
        <v>126</v>
      </c>
    </row>
    <row r="205" spans="1:7" x14ac:dyDescent="0.25">
      <c r="A205" t="s">
        <v>39</v>
      </c>
      <c r="B205" t="s">
        <v>129</v>
      </c>
      <c r="C205" t="s">
        <v>57</v>
      </c>
      <c r="D205">
        <v>11</v>
      </c>
      <c r="E205" t="s">
        <v>127</v>
      </c>
      <c r="F205" t="s">
        <v>43</v>
      </c>
      <c r="G205" t="s">
        <v>81</v>
      </c>
    </row>
    <row r="206" spans="1:7" x14ac:dyDescent="0.25">
      <c r="A206" t="s">
        <v>39</v>
      </c>
      <c r="B206" t="s">
        <v>129</v>
      </c>
      <c r="C206" t="s">
        <v>40</v>
      </c>
      <c r="D206">
        <v>12</v>
      </c>
      <c r="E206" t="s">
        <v>133</v>
      </c>
      <c r="F206" t="s">
        <v>43</v>
      </c>
      <c r="G206" t="s">
        <v>82</v>
      </c>
    </row>
    <row r="207" spans="1:7" x14ac:dyDescent="0.25">
      <c r="A207" t="s">
        <v>39</v>
      </c>
      <c r="B207" t="s">
        <v>129</v>
      </c>
      <c r="C207" t="s">
        <v>70</v>
      </c>
      <c r="D207">
        <v>13</v>
      </c>
      <c r="E207" t="s">
        <v>134</v>
      </c>
      <c r="F207" t="s">
        <v>44</v>
      </c>
      <c r="G207" t="s">
        <v>83</v>
      </c>
    </row>
    <row r="208" spans="1:7" x14ac:dyDescent="0.25">
      <c r="A208" t="s">
        <v>39</v>
      </c>
      <c r="B208" t="s">
        <v>129</v>
      </c>
      <c r="C208" t="s">
        <v>45</v>
      </c>
      <c r="D208">
        <v>14</v>
      </c>
      <c r="E208">
        <v>6</v>
      </c>
      <c r="F208" t="s">
        <v>72</v>
      </c>
      <c r="G208" t="s">
        <v>46</v>
      </c>
    </row>
    <row r="209" spans="1:7" x14ac:dyDescent="0.25">
      <c r="A209" t="s">
        <v>39</v>
      </c>
      <c r="B209" t="s">
        <v>129</v>
      </c>
      <c r="C209" t="s">
        <v>53</v>
      </c>
      <c r="D209">
        <v>15</v>
      </c>
      <c r="E209">
        <v>6</v>
      </c>
      <c r="F209" t="s">
        <v>72</v>
      </c>
      <c r="G209" t="s">
        <v>84</v>
      </c>
    </row>
    <row r="210" spans="1:7" x14ac:dyDescent="0.25">
      <c r="A210" t="s">
        <v>39</v>
      </c>
      <c r="B210" t="s">
        <v>129</v>
      </c>
      <c r="C210" t="s">
        <v>47</v>
      </c>
      <c r="D210">
        <v>16</v>
      </c>
      <c r="E210" t="s">
        <v>135</v>
      </c>
      <c r="F210" t="s">
        <v>72</v>
      </c>
      <c r="G210" t="s">
        <v>51</v>
      </c>
    </row>
    <row r="211" spans="1:7" x14ac:dyDescent="0.25">
      <c r="A211" t="s">
        <v>39</v>
      </c>
      <c r="B211" t="s">
        <v>129</v>
      </c>
      <c r="C211" t="s">
        <v>48</v>
      </c>
      <c r="D211">
        <v>17</v>
      </c>
      <c r="E211" t="s">
        <v>136</v>
      </c>
      <c r="F211" t="s">
        <v>72</v>
      </c>
      <c r="G211" t="s">
        <v>50</v>
      </c>
    </row>
    <row r="212" spans="1:7" x14ac:dyDescent="0.25">
      <c r="A212" t="s">
        <v>39</v>
      </c>
      <c r="B212" t="s">
        <v>129</v>
      </c>
      <c r="C212" t="s">
        <v>49</v>
      </c>
      <c r="D212">
        <v>18</v>
      </c>
      <c r="E212" t="s">
        <v>137</v>
      </c>
      <c r="F212" t="s">
        <v>72</v>
      </c>
      <c r="G212" t="s">
        <v>52</v>
      </c>
    </row>
    <row r="213" spans="1:7" x14ac:dyDescent="0.25">
      <c r="A213" t="s">
        <v>39</v>
      </c>
      <c r="B213" t="s">
        <v>129</v>
      </c>
      <c r="C213" t="s">
        <v>68</v>
      </c>
      <c r="D213">
        <v>19</v>
      </c>
      <c r="E213">
        <v>250000000</v>
      </c>
      <c r="F213" t="s">
        <v>73</v>
      </c>
      <c r="G213" t="s">
        <v>66</v>
      </c>
    </row>
    <row r="214" spans="1:7" x14ac:dyDescent="0.25">
      <c r="A214" t="s">
        <v>39</v>
      </c>
      <c r="B214" t="s">
        <v>129</v>
      </c>
      <c r="C214" t="s">
        <v>69</v>
      </c>
      <c r="D214">
        <v>20</v>
      </c>
      <c r="E214">
        <v>150000000</v>
      </c>
      <c r="F214" t="s">
        <v>73</v>
      </c>
      <c r="G214" t="s">
        <v>67</v>
      </c>
    </row>
    <row r="215" spans="1:7" x14ac:dyDescent="0.25">
      <c r="A215" t="s">
        <v>39</v>
      </c>
      <c r="B215" t="s">
        <v>129</v>
      </c>
      <c r="C215" t="s">
        <v>89</v>
      </c>
      <c r="D215">
        <v>21</v>
      </c>
      <c r="E215">
        <v>13</v>
      </c>
      <c r="F215" t="s">
        <v>91</v>
      </c>
      <c r="G215" t="s">
        <v>93</v>
      </c>
    </row>
    <row r="216" spans="1:7" x14ac:dyDescent="0.25">
      <c r="A216" t="s">
        <v>39</v>
      </c>
      <c r="B216" t="s">
        <v>129</v>
      </c>
      <c r="C216" t="s">
        <v>90</v>
      </c>
      <c r="D216">
        <v>22</v>
      </c>
      <c r="E216">
        <v>179</v>
      </c>
      <c r="F216" t="s">
        <v>92</v>
      </c>
      <c r="G216" t="s">
        <v>94</v>
      </c>
    </row>
    <row r="217" spans="1:7" x14ac:dyDescent="0.25">
      <c r="A217" t="s">
        <v>39</v>
      </c>
      <c r="B217" t="s">
        <v>129</v>
      </c>
      <c r="C217" t="s">
        <v>95</v>
      </c>
      <c r="D217">
        <v>23</v>
      </c>
      <c r="E217">
        <v>1</v>
      </c>
      <c r="F217" t="s">
        <v>91</v>
      </c>
      <c r="G217" t="s">
        <v>96</v>
      </c>
    </row>
  </sheetData>
  <sortState xmlns:xlrd2="http://schemas.microsoft.com/office/spreadsheetml/2017/richdata2" ref="A2:H309">
    <sortCondition ref="A2:A309"/>
    <sortCondition ref="B2:B309"/>
    <sortCondition ref="D2:D309"/>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4" sqref="I24"/>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110</v>
      </c>
      <c r="C1" t="s">
        <v>111</v>
      </c>
      <c r="D1" t="s">
        <v>112</v>
      </c>
      <c r="E1" t="s">
        <v>113</v>
      </c>
      <c r="F1" t="s">
        <v>114</v>
      </c>
      <c r="G1" t="s">
        <v>115</v>
      </c>
      <c r="I1" t="s">
        <v>128</v>
      </c>
    </row>
    <row r="2" spans="1:9" x14ac:dyDescent="0.25">
      <c r="A2" t="s">
        <v>116</v>
      </c>
      <c r="B2">
        <v>0</v>
      </c>
      <c r="C2">
        <v>2</v>
      </c>
      <c r="D2">
        <v>1</v>
      </c>
      <c r="E2">
        <f>B2</f>
        <v>0</v>
      </c>
      <c r="F2">
        <f>C2-B2</f>
        <v>2</v>
      </c>
      <c r="G2">
        <f>(D2-E2)/F2</f>
        <v>0.5</v>
      </c>
      <c r="I2" t="str">
        <f>_xlfn.CONCAT("st.triang(c=",G2,", loc=",E2,", scale=",F2,")")</f>
        <v>st.triang(c=0.5, loc=0, scale=2)</v>
      </c>
    </row>
    <row r="3" spans="1:9" x14ac:dyDescent="0.25">
      <c r="A3" t="s">
        <v>117</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118</v>
      </c>
      <c r="B4">
        <v>0</v>
      </c>
      <c r="C4">
        <v>2</v>
      </c>
      <c r="D4">
        <v>0.5</v>
      </c>
      <c r="E4">
        <f t="shared" si="0"/>
        <v>0</v>
      </c>
      <c r="F4">
        <f t="shared" si="1"/>
        <v>2</v>
      </c>
      <c r="G4">
        <f t="shared" si="2"/>
        <v>0.25</v>
      </c>
      <c r="I4" t="str">
        <f t="shared" si="3"/>
        <v>st.triang(c=0.25, loc=0, scale=2)</v>
      </c>
    </row>
    <row r="5" spans="1:9" x14ac:dyDescent="0.25">
      <c r="A5" t="s">
        <v>119</v>
      </c>
      <c r="B5">
        <v>0</v>
      </c>
      <c r="C5">
        <v>2</v>
      </c>
      <c r="D5">
        <v>0.5</v>
      </c>
      <c r="E5">
        <f t="shared" si="0"/>
        <v>0</v>
      </c>
      <c r="F5">
        <f t="shared" si="1"/>
        <v>2</v>
      </c>
      <c r="G5">
        <f t="shared" si="2"/>
        <v>0.25</v>
      </c>
      <c r="I5" t="str">
        <f t="shared" si="3"/>
        <v>st.triang(c=0.25, loc=0, scale=2)</v>
      </c>
    </row>
    <row r="6" spans="1:9" x14ac:dyDescent="0.25">
      <c r="A6" t="s">
        <v>120</v>
      </c>
      <c r="B6">
        <v>0</v>
      </c>
      <c r="C6">
        <v>2</v>
      </c>
      <c r="D6">
        <v>1</v>
      </c>
      <c r="E6">
        <f t="shared" si="0"/>
        <v>0</v>
      </c>
      <c r="F6">
        <f t="shared" si="1"/>
        <v>2</v>
      </c>
      <c r="G6">
        <f t="shared" si="2"/>
        <v>0.5</v>
      </c>
      <c r="I6" t="str">
        <f t="shared" si="3"/>
        <v>st.triang(c=0.5, loc=0, scale=2)</v>
      </c>
    </row>
    <row r="7" spans="1:9" x14ac:dyDescent="0.25">
      <c r="A7" t="s">
        <v>121</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122</v>
      </c>
      <c r="B9">
        <v>0</v>
      </c>
      <c r="C9">
        <v>0.15</v>
      </c>
      <c r="D9">
        <v>0.06</v>
      </c>
      <c r="E9">
        <f t="shared" si="0"/>
        <v>0</v>
      </c>
      <c r="F9">
        <f t="shared" si="1"/>
        <v>0.15</v>
      </c>
      <c r="G9">
        <f t="shared" si="2"/>
        <v>0.4</v>
      </c>
      <c r="I9" t="str">
        <f t="shared" si="3"/>
        <v>st.triang(c=0.4, loc=0, scale=0.15)</v>
      </c>
    </row>
    <row r="10" spans="1:9" x14ac:dyDescent="0.25">
      <c r="A10" t="s">
        <v>123</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124</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127</v>
      </c>
    </row>
    <row r="19" spans="1:9" x14ac:dyDescent="0.25">
      <c r="A19" t="s">
        <v>58</v>
      </c>
      <c r="I19" t="s">
        <v>127</v>
      </c>
    </row>
    <row r="20" spans="1:9" x14ac:dyDescent="0.25">
      <c r="A20" t="s">
        <v>60</v>
      </c>
      <c r="I20" t="s">
        <v>127</v>
      </c>
    </row>
    <row r="24" spans="1:9" x14ac:dyDescent="0.25">
      <c r="A24" t="s">
        <v>53</v>
      </c>
      <c r="I24" t="s">
        <v>141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7"/>
  <sheetViews>
    <sheetView workbookViewId="0">
      <selection activeCell="E7" sqref="E7"/>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73</v>
      </c>
    </row>
    <row r="3" spans="1:5" x14ac:dyDescent="0.25">
      <c r="A3" t="s">
        <v>39</v>
      </c>
      <c r="B3" t="s">
        <v>11</v>
      </c>
      <c r="C3" t="s">
        <v>100</v>
      </c>
      <c r="D3" t="s">
        <v>150</v>
      </c>
    </row>
    <row r="4" spans="1:5" x14ac:dyDescent="0.25">
      <c r="A4" t="s">
        <v>39</v>
      </c>
      <c r="B4" t="s">
        <v>12</v>
      </c>
      <c r="C4" t="s">
        <v>101</v>
      </c>
      <c r="D4" t="s">
        <v>44</v>
      </c>
    </row>
    <row r="5" spans="1:5" x14ac:dyDescent="0.25">
      <c r="A5" t="s">
        <v>39</v>
      </c>
      <c r="B5" t="s">
        <v>12</v>
      </c>
      <c r="C5" t="s">
        <v>102</v>
      </c>
      <c r="D5" t="s">
        <v>149</v>
      </c>
    </row>
    <row r="6" spans="1:5" x14ac:dyDescent="0.25">
      <c r="A6" t="s">
        <v>39</v>
      </c>
      <c r="B6" t="s">
        <v>12</v>
      </c>
      <c r="C6" t="s">
        <v>103</v>
      </c>
      <c r="D6" t="s">
        <v>149</v>
      </c>
    </row>
    <row r="7" spans="1:5" x14ac:dyDescent="0.25">
      <c r="A7" t="s">
        <v>39</v>
      </c>
      <c r="B7" t="s">
        <v>12</v>
      </c>
      <c r="C7" t="s">
        <v>151</v>
      </c>
      <c r="D7" t="s">
        <v>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0"/>
  <sheetViews>
    <sheetView workbookViewId="0">
      <selection activeCell="C11" sqref="C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142</v>
      </c>
      <c r="B2" t="s">
        <v>71</v>
      </c>
      <c r="C2">
        <v>1</v>
      </c>
    </row>
    <row r="3" spans="1:4" x14ac:dyDescent="0.25">
      <c r="A3" t="s">
        <v>142</v>
      </c>
      <c r="B3" t="s">
        <v>107</v>
      </c>
      <c r="C3">
        <v>2</v>
      </c>
    </row>
    <row r="4" spans="1:4" x14ac:dyDescent="0.25">
      <c r="A4" t="s">
        <v>144</v>
      </c>
      <c r="B4" t="s">
        <v>88</v>
      </c>
      <c r="C4">
        <v>1</v>
      </c>
    </row>
    <row r="5" spans="1:4" x14ac:dyDescent="0.25">
      <c r="A5" t="s">
        <v>144</v>
      </c>
      <c r="B5" t="s">
        <v>87</v>
      </c>
      <c r="C5">
        <v>2</v>
      </c>
    </row>
    <row r="6" spans="1:4" x14ac:dyDescent="0.25">
      <c r="A6" t="s">
        <v>144</v>
      </c>
      <c r="B6" t="s">
        <v>106</v>
      </c>
      <c r="C6">
        <v>3</v>
      </c>
    </row>
    <row r="7" spans="1:4" x14ac:dyDescent="0.25">
      <c r="A7" t="s">
        <v>144</v>
      </c>
      <c r="B7" t="s">
        <v>105</v>
      </c>
      <c r="C7">
        <v>4</v>
      </c>
    </row>
    <row r="8" spans="1:4" x14ac:dyDescent="0.25">
      <c r="A8" t="s">
        <v>143</v>
      </c>
      <c r="B8" t="s">
        <v>108</v>
      </c>
      <c r="C8">
        <v>1</v>
      </c>
    </row>
    <row r="9" spans="1:4" x14ac:dyDescent="0.25">
      <c r="A9" t="s">
        <v>143</v>
      </c>
      <c r="B9" t="s">
        <v>109</v>
      </c>
      <c r="C9">
        <v>2</v>
      </c>
    </row>
    <row r="10" spans="1:4" x14ac:dyDescent="0.25">
      <c r="A10" t="s">
        <v>143</v>
      </c>
      <c r="B10" t="s">
        <v>129</v>
      </c>
      <c r="C10">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0"/>
  <sheetViews>
    <sheetView zoomScale="130" zoomScaleNormal="130" workbookViewId="0">
      <selection activeCell="B4" sqref="B4"/>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145</v>
      </c>
      <c r="B2" t="s">
        <v>142</v>
      </c>
      <c r="C2" t="s">
        <v>71</v>
      </c>
    </row>
    <row r="3" spans="1:4" x14ac:dyDescent="0.25">
      <c r="A3" t="s">
        <v>145</v>
      </c>
      <c r="B3" t="s">
        <v>142</v>
      </c>
      <c r="C3" t="s">
        <v>107</v>
      </c>
    </row>
    <row r="4" spans="1:4" x14ac:dyDescent="0.25">
      <c r="A4" t="s">
        <v>146</v>
      </c>
      <c r="B4" t="s">
        <v>144</v>
      </c>
      <c r="C4" t="s">
        <v>88</v>
      </c>
    </row>
    <row r="5" spans="1:4" x14ac:dyDescent="0.25">
      <c r="A5" t="s">
        <v>147</v>
      </c>
      <c r="B5" t="s">
        <v>144</v>
      </c>
      <c r="C5" t="s">
        <v>87</v>
      </c>
    </row>
    <row r="6" spans="1:4" x14ac:dyDescent="0.25">
      <c r="A6" t="s">
        <v>147</v>
      </c>
      <c r="B6" t="s">
        <v>144</v>
      </c>
      <c r="C6" t="s">
        <v>106</v>
      </c>
    </row>
    <row r="7" spans="1:4" x14ac:dyDescent="0.25">
      <c r="A7" t="s">
        <v>146</v>
      </c>
      <c r="B7" t="s">
        <v>144</v>
      </c>
      <c r="C7" t="s">
        <v>105</v>
      </c>
    </row>
    <row r="8" spans="1:4" x14ac:dyDescent="0.25">
      <c r="A8" t="s">
        <v>148</v>
      </c>
      <c r="B8" t="s">
        <v>143</v>
      </c>
      <c r="C8" t="s">
        <v>108</v>
      </c>
    </row>
    <row r="9" spans="1:4" x14ac:dyDescent="0.25">
      <c r="A9" t="s">
        <v>148</v>
      </c>
      <c r="B9" t="s">
        <v>143</v>
      </c>
      <c r="C9" t="s">
        <v>109</v>
      </c>
    </row>
    <row r="10" spans="1:4" x14ac:dyDescent="0.25">
      <c r="A10" t="s">
        <v>148</v>
      </c>
      <c r="B10" t="s">
        <v>143</v>
      </c>
      <c r="C10"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2025-11-03T18:14:04Z</dcterms:modified>
</cp:coreProperties>
</file>