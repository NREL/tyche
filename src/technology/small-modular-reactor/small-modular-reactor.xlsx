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rhanes\GitHub\tyche\src\technology\small-modular-reactor\"/>
    </mc:Choice>
  </mc:AlternateContent>
  <xr:revisionPtr revIDLastSave="0" documentId="13_ncr:1_{F58FF924-531A-460B-8931-79D14348CE7C}" xr6:coauthVersionLast="47" xr6:coauthVersionMax="47" xr10:uidLastSave="{00000000-0000-0000-0000-000000000000}"/>
  <bookViews>
    <workbookView xWindow="780" yWindow="780" windowWidth="13125" windowHeight="18270" tabRatio="778" activeTab="4" xr2:uid="{277ED3FD-2B20-4A36-BB03-16AF83BDC75C}"/>
  </bookViews>
  <sheets>
    <sheet name="indices" sheetId="1" r:id="rId1"/>
    <sheet name="metadata" sheetId="8" r:id="rId2"/>
    <sheet name="functions" sheetId="2" r:id="rId3"/>
    <sheet name="designs" sheetId="3" r:id="rId4"/>
    <sheet name="parameters" sheetId="4" r:id="rId5"/>
    <sheet name="results" sheetId="5" r:id="rId6"/>
    <sheet name="tranches" sheetId="6" r:id="rId7"/>
    <sheet name="investments" sheetId="7" r:id="rId8"/>
    <sheet name="distn_params" sheetId="9" r:id="rId9"/>
  </sheets>
  <definedNames>
    <definedName name="_xlnm._FilterDatabase" localSheetId="3" hidden="1">designs!$A$1:$G$92</definedName>
    <definedName name="_xlnm._FilterDatabase" localSheetId="0" hidden="1">indices!$A$1:$F$25</definedName>
    <definedName name="_xlnm._FilterDatabase" localSheetId="4" hidden="1">parameters!$A$1:$G$313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9" l="1"/>
  <c r="I16" i="9"/>
  <c r="E15" i="9"/>
  <c r="F15" i="9"/>
  <c r="G15" i="9"/>
  <c r="E16" i="9"/>
  <c r="F16" i="9"/>
  <c r="G16" i="9"/>
  <c r="D15" i="9"/>
  <c r="C15" i="9"/>
  <c r="B15" i="9"/>
  <c r="F14" i="9"/>
  <c r="F13" i="9"/>
  <c r="F12" i="9"/>
  <c r="E14" i="9"/>
  <c r="E13" i="9"/>
  <c r="E12" i="9"/>
  <c r="F3" i="9"/>
  <c r="F4" i="9"/>
  <c r="F5" i="9"/>
  <c r="F6" i="9"/>
  <c r="F7" i="9"/>
  <c r="F8" i="9"/>
  <c r="G8" i="9" s="1"/>
  <c r="I8" i="9" s="1"/>
  <c r="F9" i="9"/>
  <c r="F10" i="9"/>
  <c r="F11" i="9"/>
  <c r="F2" i="9"/>
  <c r="E3" i="9"/>
  <c r="E4" i="9"/>
  <c r="E5" i="9"/>
  <c r="E6" i="9"/>
  <c r="G6" i="9" s="1"/>
  <c r="I6" i="9" s="1"/>
  <c r="E7" i="9"/>
  <c r="E8" i="9"/>
  <c r="E9" i="9"/>
  <c r="E10" i="9"/>
  <c r="E11" i="9"/>
  <c r="E2" i="9"/>
  <c r="G12" i="9" l="1"/>
  <c r="I12" i="9" s="1"/>
  <c r="G13" i="9"/>
  <c r="I13" i="9" s="1"/>
  <c r="G7" i="9"/>
  <c r="I7" i="9" s="1"/>
  <c r="G11" i="9"/>
  <c r="I11" i="9" s="1"/>
  <c r="G10" i="9"/>
  <c r="I10" i="9" s="1"/>
  <c r="G14" i="9"/>
  <c r="I14" i="9" s="1"/>
  <c r="G9" i="9"/>
  <c r="I9" i="9" s="1"/>
  <c r="G5" i="9"/>
  <c r="I5" i="9" s="1"/>
  <c r="G4" i="9"/>
  <c r="I4" i="9" s="1"/>
  <c r="G3" i="9"/>
  <c r="I3" i="9" s="1"/>
  <c r="G2" i="9"/>
  <c r="I2" i="9" s="1"/>
</calcChain>
</file>

<file path=xl/sharedStrings.xml><?xml version="1.0" encoding="utf-8"?>
<sst xmlns="http://schemas.openxmlformats.org/spreadsheetml/2006/main" count="2464" uniqueCount="159">
  <si>
    <t>Category</t>
  </si>
  <si>
    <t>Tranche</t>
  </si>
  <si>
    <t>Amount</t>
  </si>
  <si>
    <t>Notes</t>
  </si>
  <si>
    <t>Technology</t>
  </si>
  <si>
    <t>Type</t>
  </si>
  <si>
    <t>Index</t>
  </si>
  <si>
    <t>Offset</t>
  </si>
  <si>
    <t>Description</t>
  </si>
  <si>
    <t>Capital</t>
  </si>
  <si>
    <t>Input</t>
  </si>
  <si>
    <t>Output</t>
  </si>
  <si>
    <t>Metric</t>
  </si>
  <si>
    <t>Parameter</t>
  </si>
  <si>
    <t>Value</t>
  </si>
  <si>
    <t>Units</t>
  </si>
  <si>
    <t>Investment</t>
  </si>
  <si>
    <t>Style</t>
  </si>
  <si>
    <t>Model</t>
  </si>
  <si>
    <t>Fixed</t>
  </si>
  <si>
    <t>Production</t>
  </si>
  <si>
    <t>Metrics</t>
  </si>
  <si>
    <t>numpy</t>
  </si>
  <si>
    <t>capital_cost</t>
  </si>
  <si>
    <t>fixed_cost</t>
  </si>
  <si>
    <t>production</t>
  </si>
  <si>
    <t>metrics</t>
  </si>
  <si>
    <t>Variable</t>
  </si>
  <si>
    <t>Cost</t>
  </si>
  <si>
    <t>Input efficiency</t>
  </si>
  <si>
    <t>Output efficiency</t>
  </si>
  <si>
    <t>Scale</t>
  </si>
  <si>
    <t>Input price</t>
  </si>
  <si>
    <t>Output price</t>
  </si>
  <si>
    <t>Lifetime</t>
  </si>
  <si>
    <t>years</t>
  </si>
  <si>
    <t>The Style should always be numpy. Model is the name of the Python file containing the technology model, and Capital, Fixed, Production, and Metrics are the names of the methods inside the technology model file.</t>
  </si>
  <si>
    <t>Kind</t>
  </si>
  <si>
    <t>Name</t>
  </si>
  <si>
    <t>Nuclear SMR</t>
  </si>
  <si>
    <t>standardization</t>
  </si>
  <si>
    <t>USD/acre</t>
  </si>
  <si>
    <t>fraction</t>
  </si>
  <si>
    <t>qualitative</t>
  </si>
  <si>
    <t>months</t>
  </si>
  <si>
    <t>num_orders</t>
  </si>
  <si>
    <t>Number of firm orders at time of reactor construction</t>
  </si>
  <si>
    <t>N_AE</t>
  </si>
  <si>
    <t>N_proc</t>
  </si>
  <si>
    <t>N_cons</t>
  </si>
  <si>
    <t>Number of projects required to reach full efficiency of procurement</t>
  </si>
  <si>
    <t>Number of projects required to reach full efficiency of architecture and engineering</t>
  </si>
  <si>
    <t>Number of projects required to reach full efficiency of construction service</t>
  </si>
  <si>
    <t>n_th</t>
  </si>
  <si>
    <t>proc_exp</t>
  </si>
  <si>
    <t>ae_exp</t>
  </si>
  <si>
    <t>ce_exp</t>
  </si>
  <si>
    <t>mod</t>
  </si>
  <si>
    <t>BOP_grade</t>
  </si>
  <si>
    <t>Design_Maturity</t>
  </si>
  <si>
    <t>RB_grade</t>
  </si>
  <si>
    <t>ITC</t>
  </si>
  <si>
    <t>n_ITC</t>
  </si>
  <si>
    <t>design_completion</t>
  </si>
  <si>
    <t>land_cost_per_acre</t>
  </si>
  <si>
    <t>interest_rate</t>
  </si>
  <si>
    <t>Factory building cost, account 22</t>
  </si>
  <si>
    <t>Factory building cost, account 232.1</t>
  </si>
  <si>
    <t>f_22</t>
  </si>
  <si>
    <t>f_2321</t>
  </si>
  <si>
    <t>startup</t>
  </si>
  <si>
    <t>count</t>
  </si>
  <si>
    <t>USD</t>
  </si>
  <si>
    <t>Design Maturity; Options: 0, 1, 2</t>
  </si>
  <si>
    <t>Design Completion; Options: 0, 1</t>
  </si>
  <si>
    <t>Procurement (supply chain) experience ; Options: 0, 1, 2</t>
  </si>
  <si>
    <t>Architecture &amp; Engineering Experience; Options: 0, 1, 2</t>
  </si>
  <si>
    <t>Construction service experience; Options: 0, 1, 2</t>
  </si>
  <si>
    <t>Investment Tax Credit; Range: float 0-0.4 inclusive</t>
  </si>
  <si>
    <t>Number of reactors claiming ITC; Must be less than or equal to the number of firm orders</t>
  </si>
  <si>
    <t>Modularization; Options: stick_built, modularized</t>
  </si>
  <si>
    <t>Standardization; Range: 0.7-1 inclusive</t>
  </si>
  <si>
    <t>Startup duration (months); Range: Integers 3-24 inclusive</t>
  </si>
  <si>
    <t>Nth of a kind; Must be less than or equal to the number of firm orders</t>
  </si>
  <si>
    <t>Interest Rate; Range: 0 - 0.15</t>
  </si>
  <si>
    <t>Land Cost Per Acre (2023 USD); Range: float 1000 - 1000000 inclusive</t>
  </si>
  <si>
    <t>om_variable</t>
  </si>
  <si>
    <t>om_fixed</t>
  </si>
  <si>
    <t>USD/MWh</t>
  </si>
  <si>
    <t>USD/kWe-year</t>
  </si>
  <si>
    <t>Country-specific nuclear variable operations and maintenance costs, baseline (Net Zero World)</t>
  </si>
  <si>
    <t>Country-specific nuclear fixed operations and maintenance costs, baseline (Net Zero World)</t>
  </si>
  <si>
    <t>spent_fuel_tax</t>
  </si>
  <si>
    <t>Country-specific spent fuel tax for disposal of waste</t>
  </si>
  <si>
    <t>small_modular_reactor</t>
  </si>
  <si>
    <t>Reactor</t>
  </si>
  <si>
    <t>Fuel</t>
  </si>
  <si>
    <t>Electricity</t>
  </si>
  <si>
    <t>Construction Duration</t>
  </si>
  <si>
    <t>Levelized Net OCC</t>
  </si>
  <si>
    <t>Levelized Net TCI</t>
  </si>
  <si>
    <t>dummy value</t>
  </si>
  <si>
    <t>min (loc)</t>
  </si>
  <si>
    <t>max (loc + scale)</t>
  </si>
  <si>
    <t>peak/most likely (loc + c*scale)</t>
  </si>
  <si>
    <t>loc</t>
  </si>
  <si>
    <t>scale</t>
  </si>
  <si>
    <t>c</t>
  </si>
  <si>
    <t>Design maturity</t>
  </si>
  <si>
    <t>Design completion</t>
  </si>
  <si>
    <t>Procurement experience</t>
  </si>
  <si>
    <t>Architecture experience</t>
  </si>
  <si>
    <t>Construction experience</t>
  </si>
  <si>
    <t>Land cost</t>
  </si>
  <si>
    <t>Interest rate</t>
  </si>
  <si>
    <t>Standardization</t>
  </si>
  <si>
    <t>Startup duration</t>
  </si>
  <si>
    <t>BOP grade; Options: 1 = nuclear, 0 =non_nuclear</t>
  </si>
  <si>
    <t>Reactor Building grade; Options: 1 = nuclear, 0 = non_nuclear</t>
  </si>
  <si>
    <t>st.bernoulli(0.5)</t>
  </si>
  <si>
    <t>Distribution Text</t>
  </si>
  <si>
    <t>st.triang(c=0.5, loc=0, scale=2)</t>
  </si>
  <si>
    <t>st.triang(c=0.8, loc=0, scale=1)</t>
  </si>
  <si>
    <t>st.triang(c=0.25, loc=0, scale=2)</t>
  </si>
  <si>
    <t>st.triang(c=0.333333333333334, loc=0.7, scale=0.3)</t>
  </si>
  <si>
    <t>st.triang(c=0.619047619047619, loc=3, scale=21)</t>
  </si>
  <si>
    <t>st.triang(c=0.021021021021021, loc=1000, scale=999000)</t>
  </si>
  <si>
    <t>st.triang(c=0, loc=0, scale=0.4)</t>
  </si>
  <si>
    <t>st.triang(c=0.4, loc=0, scale=0.15)</t>
  </si>
  <si>
    <t>st.rv_discrete(values=([1,2,3,4,5,6,7,8,9,10,11,12,13],[1/13,1/13,1/13,1/13,1/13,1/13,1/13,1/13,1/13,1/13,1/13,1/13,1/13]))</t>
  </si>
  <si>
    <t>USD/kWe</t>
  </si>
  <si>
    <t>MWh/year</t>
  </si>
  <si>
    <t>Total OCC</t>
  </si>
  <si>
    <t>BOAK 6 Orders</t>
  </si>
  <si>
    <t>BOAK 13 Orders</t>
  </si>
  <si>
    <t>st.triang(c=0.6, loc=1, scale=5)</t>
  </si>
  <si>
    <t>FOAK 13 Orders</t>
  </si>
  <si>
    <t>FOAK 6 Orders</t>
  </si>
  <si>
    <t>NOAK 13 Orders</t>
  </si>
  <si>
    <t>NOAK 6 Orders</t>
  </si>
  <si>
    <t>st.triang(c=0.483870967741935, loc=9.25, scale=7.75)</t>
  </si>
  <si>
    <t>st.triang(c=0.36231884057971, loc=154, scale=69)</t>
  </si>
  <si>
    <t>Medium Term Planning</t>
  </si>
  <si>
    <t>Long Term Planning</t>
  </si>
  <si>
    <t>Near Term Planning</t>
  </si>
  <si>
    <t>FOAK 3 Orders</t>
  </si>
  <si>
    <t>NOAK 3 Orders</t>
  </si>
  <si>
    <t>BOAK 3 Orders</t>
  </si>
  <si>
    <t>Minimal</t>
  </si>
  <si>
    <t>Moderate</t>
  </si>
  <si>
    <t>High</t>
  </si>
  <si>
    <t>st.triang(c=0.5, loc=1, scale=2)</t>
  </si>
  <si>
    <t>st.triang(c=0.5, loc=1, scale=12)</t>
  </si>
  <si>
    <t>BOAK 2 of 6 Orders</t>
  </si>
  <si>
    <t>BOAK 5 of 6 Orders</t>
  </si>
  <si>
    <t>BOAK 4 of 6 Orders</t>
  </si>
  <si>
    <t>BOAK 3 of 6 Orders</t>
  </si>
  <si>
    <t>Variable Op and Maint</t>
  </si>
  <si>
    <t>Fixed Op and Maint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</si>
</sst>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3D170-DEC1-4938-B961-67DBF048922E}">
  <dimension ref="A1:F10"/>
  <sheetViews>
    <sheetView workbookViewId="0">
      <selection activeCell="A7" sqref="A7:A9"/>
    </sheetView>
  </sheetViews>
  <sheetFormatPr defaultRowHeight="15" x14ac:dyDescent="0.25"/>
  <cols>
    <col min="1" max="1" width="13.42578125" bestFit="1" customWidth="1"/>
    <col min="2" max="2" width="7.28515625" bestFit="1" customWidth="1"/>
    <col min="3" max="3" width="22" bestFit="1" customWidth="1"/>
    <col min="4" max="4" width="6.5703125" bestFit="1" customWidth="1"/>
    <col min="5" max="5" width="11.140625" bestFit="1" customWidth="1"/>
    <col min="6" max="6" width="6.28515625" bestFit="1" customWidth="1"/>
  </cols>
  <sheetData>
    <row r="1" spans="1:6" x14ac:dyDescent="0.25">
      <c r="A1" t="s">
        <v>4</v>
      </c>
      <c r="B1" t="s">
        <v>5</v>
      </c>
      <c r="C1" t="s">
        <v>6</v>
      </c>
      <c r="D1" t="s">
        <v>7</v>
      </c>
      <c r="E1" t="s">
        <v>8</v>
      </c>
      <c r="F1" t="s">
        <v>3</v>
      </c>
    </row>
    <row r="2" spans="1:6" x14ac:dyDescent="0.25">
      <c r="A2" t="s">
        <v>39</v>
      </c>
      <c r="B2" t="s">
        <v>9</v>
      </c>
      <c r="C2" t="s">
        <v>95</v>
      </c>
      <c r="D2">
        <v>0</v>
      </c>
    </row>
    <row r="3" spans="1:6" x14ac:dyDescent="0.25">
      <c r="A3" t="s">
        <v>39</v>
      </c>
      <c r="B3" t="s">
        <v>10</v>
      </c>
      <c r="C3" t="s">
        <v>96</v>
      </c>
      <c r="D3">
        <v>0</v>
      </c>
    </row>
    <row r="4" spans="1:6" x14ac:dyDescent="0.25">
      <c r="A4" t="s">
        <v>39</v>
      </c>
      <c r="B4" t="s">
        <v>12</v>
      </c>
      <c r="C4" t="s">
        <v>98</v>
      </c>
      <c r="D4">
        <v>0</v>
      </c>
    </row>
    <row r="5" spans="1:6" x14ac:dyDescent="0.25">
      <c r="A5" t="s">
        <v>39</v>
      </c>
      <c r="B5" t="s">
        <v>12</v>
      </c>
      <c r="C5" t="s">
        <v>99</v>
      </c>
      <c r="D5">
        <v>1</v>
      </c>
    </row>
    <row r="6" spans="1:6" x14ac:dyDescent="0.25">
      <c r="A6" t="s">
        <v>39</v>
      </c>
      <c r="B6" t="s">
        <v>12</v>
      </c>
      <c r="C6" t="s">
        <v>100</v>
      </c>
      <c r="D6">
        <v>2</v>
      </c>
    </row>
    <row r="7" spans="1:6" x14ac:dyDescent="0.25">
      <c r="A7" t="s">
        <v>39</v>
      </c>
      <c r="B7" t="s">
        <v>12</v>
      </c>
      <c r="C7" t="s">
        <v>132</v>
      </c>
      <c r="D7">
        <v>3</v>
      </c>
    </row>
    <row r="8" spans="1:6" x14ac:dyDescent="0.25">
      <c r="A8" t="s">
        <v>39</v>
      </c>
      <c r="B8" t="s">
        <v>12</v>
      </c>
      <c r="C8" t="s">
        <v>157</v>
      </c>
      <c r="D8">
        <v>4</v>
      </c>
    </row>
    <row r="9" spans="1:6" x14ac:dyDescent="0.25">
      <c r="A9" t="s">
        <v>39</v>
      </c>
      <c r="B9" t="s">
        <v>12</v>
      </c>
      <c r="C9" t="s">
        <v>158</v>
      </c>
      <c r="D9">
        <v>5</v>
      </c>
    </row>
    <row r="10" spans="1:6" x14ac:dyDescent="0.25">
      <c r="A10" t="s">
        <v>39</v>
      </c>
      <c r="B10" t="s">
        <v>11</v>
      </c>
      <c r="C10" t="s">
        <v>97</v>
      </c>
      <c r="D10">
        <v>0</v>
      </c>
    </row>
  </sheetData>
  <sortState xmlns:xlrd2="http://schemas.microsoft.com/office/spreadsheetml/2017/richdata2" ref="A3:F25">
    <sortCondition ref="A3:A25"/>
    <sortCondition ref="B3:B25"/>
    <sortCondition ref="D3:D2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40AB5-9F0E-41EA-9F17-3461080DE366}">
  <dimension ref="A1:C7"/>
  <sheetViews>
    <sheetView workbookViewId="0">
      <selection activeCell="B33" sqref="B33"/>
    </sheetView>
  </sheetViews>
  <sheetFormatPr defaultRowHeight="15" x14ac:dyDescent="0.25"/>
  <cols>
    <col min="1" max="1" width="11.140625" bestFit="1" customWidth="1"/>
    <col min="2" max="2" width="30.140625" bestFit="1" customWidth="1"/>
    <col min="3" max="3" width="11.140625" bestFit="1" customWidth="1"/>
    <col min="7" max="7" width="33" bestFit="1" customWidth="1"/>
  </cols>
  <sheetData>
    <row r="1" spans="1:3" x14ac:dyDescent="0.25">
      <c r="A1" t="s">
        <v>37</v>
      </c>
      <c r="B1" t="s">
        <v>38</v>
      </c>
      <c r="C1" t="s">
        <v>8</v>
      </c>
    </row>
    <row r="2" spans="1:3" x14ac:dyDescent="0.25">
      <c r="A2" t="s">
        <v>4</v>
      </c>
      <c r="B2" t="s">
        <v>39</v>
      </c>
    </row>
    <row r="3" spans="1:3" x14ac:dyDescent="0.25">
      <c r="A3" t="s">
        <v>1</v>
      </c>
    </row>
    <row r="4" spans="1:3" x14ac:dyDescent="0.25">
      <c r="A4" t="s">
        <v>0</v>
      </c>
    </row>
    <row r="5" spans="1:3" x14ac:dyDescent="0.25">
      <c r="A5" t="s">
        <v>12</v>
      </c>
      <c r="B5" t="s">
        <v>98</v>
      </c>
    </row>
    <row r="6" spans="1:3" x14ac:dyDescent="0.25">
      <c r="A6" t="s">
        <v>12</v>
      </c>
      <c r="B6" t="s">
        <v>99</v>
      </c>
    </row>
    <row r="7" spans="1:3" x14ac:dyDescent="0.25">
      <c r="A7" t="s">
        <v>12</v>
      </c>
      <c r="B7" t="s">
        <v>100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C873A-D063-4744-8651-CEF648C63973}">
  <dimension ref="A1:H2"/>
  <sheetViews>
    <sheetView workbookViewId="0">
      <selection activeCell="A2" sqref="A2"/>
    </sheetView>
  </sheetViews>
  <sheetFormatPr defaultRowHeight="15" x14ac:dyDescent="0.25"/>
  <cols>
    <col min="1" max="1" width="13.42578125" bestFit="1" customWidth="1"/>
    <col min="2" max="2" width="7.140625" bestFit="1" customWidth="1"/>
    <col min="3" max="3" width="21.85546875" bestFit="1" customWidth="1"/>
    <col min="4" max="4" width="11.42578125" bestFit="1" customWidth="1"/>
    <col min="5" max="5" width="10.140625" bestFit="1" customWidth="1"/>
    <col min="6" max="6" width="10.7109375" bestFit="1" customWidth="1"/>
    <col min="7" max="7" width="7.5703125" bestFit="1" customWidth="1"/>
    <col min="8" max="8" width="6.28515625" bestFit="1" customWidth="1"/>
  </cols>
  <sheetData>
    <row r="1" spans="1:8" x14ac:dyDescent="0.25">
      <c r="A1" t="s">
        <v>4</v>
      </c>
      <c r="B1" t="s">
        <v>17</v>
      </c>
      <c r="C1" t="s">
        <v>18</v>
      </c>
      <c r="D1" t="s">
        <v>9</v>
      </c>
      <c r="E1" t="s">
        <v>19</v>
      </c>
      <c r="F1" t="s">
        <v>20</v>
      </c>
      <c r="G1" t="s">
        <v>21</v>
      </c>
      <c r="H1" t="s">
        <v>3</v>
      </c>
    </row>
    <row r="2" spans="1:8" x14ac:dyDescent="0.25">
      <c r="A2" t="s">
        <v>39</v>
      </c>
      <c r="B2" t="s">
        <v>22</v>
      </c>
      <c r="C2" t="s">
        <v>94</v>
      </c>
      <c r="D2" t="s">
        <v>23</v>
      </c>
      <c r="E2" t="s">
        <v>24</v>
      </c>
      <c r="F2" t="s">
        <v>25</v>
      </c>
      <c r="G2" t="s">
        <v>26</v>
      </c>
      <c r="H2" t="s">
        <v>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20890-62B7-47AF-BA68-650F053D99C5}">
  <dimension ref="A1:G92"/>
  <sheetViews>
    <sheetView workbookViewId="0"/>
  </sheetViews>
  <sheetFormatPr defaultRowHeight="15" x14ac:dyDescent="0.25"/>
  <cols>
    <col min="1" max="1" width="14" bestFit="1" customWidth="1"/>
    <col min="2" max="2" width="33" bestFit="1" customWidth="1"/>
    <col min="3" max="3" width="16.5703125" bestFit="1" customWidth="1"/>
    <col min="4" max="4" width="14.140625" bestFit="1" customWidth="1"/>
    <col min="5" max="5" width="6.140625" bestFit="1" customWidth="1"/>
    <col min="6" max="6" width="15.28515625" bestFit="1" customWidth="1"/>
    <col min="7" max="7" width="45.5703125" customWidth="1"/>
  </cols>
  <sheetData>
    <row r="1" spans="1:7" x14ac:dyDescent="0.25">
      <c r="A1" t="s">
        <v>4</v>
      </c>
      <c r="B1" t="s">
        <v>1</v>
      </c>
      <c r="C1" t="s">
        <v>27</v>
      </c>
      <c r="D1" t="s">
        <v>6</v>
      </c>
      <c r="E1" t="s">
        <v>14</v>
      </c>
      <c r="F1" t="s">
        <v>15</v>
      </c>
      <c r="G1" t="s">
        <v>3</v>
      </c>
    </row>
    <row r="2" spans="1:7" x14ac:dyDescent="0.25">
      <c r="A2" t="s">
        <v>39</v>
      </c>
      <c r="B2" t="s">
        <v>137</v>
      </c>
      <c r="C2" t="s">
        <v>10</v>
      </c>
      <c r="D2" t="s">
        <v>96</v>
      </c>
      <c r="E2">
        <v>1</v>
      </c>
      <c r="F2" t="s">
        <v>101</v>
      </c>
    </row>
    <row r="3" spans="1:7" x14ac:dyDescent="0.25">
      <c r="A3" t="s">
        <v>39</v>
      </c>
      <c r="B3" t="s">
        <v>137</v>
      </c>
      <c r="C3" t="s">
        <v>29</v>
      </c>
      <c r="D3" t="s">
        <v>96</v>
      </c>
      <c r="E3">
        <v>1</v>
      </c>
      <c r="F3" t="s">
        <v>101</v>
      </c>
    </row>
    <row r="4" spans="1:7" x14ac:dyDescent="0.25">
      <c r="A4" t="s">
        <v>39</v>
      </c>
      <c r="B4" t="s">
        <v>137</v>
      </c>
      <c r="C4" t="s">
        <v>32</v>
      </c>
      <c r="D4" t="s">
        <v>96</v>
      </c>
      <c r="E4">
        <v>0</v>
      </c>
      <c r="F4" t="s">
        <v>101</v>
      </c>
    </row>
    <row r="5" spans="1:7" x14ac:dyDescent="0.25">
      <c r="A5" t="s">
        <v>39</v>
      </c>
      <c r="B5" t="s">
        <v>137</v>
      </c>
      <c r="C5" t="s">
        <v>34</v>
      </c>
      <c r="D5" t="s">
        <v>95</v>
      </c>
      <c r="E5">
        <v>50</v>
      </c>
      <c r="F5" t="s">
        <v>35</v>
      </c>
    </row>
    <row r="6" spans="1:7" x14ac:dyDescent="0.25">
      <c r="A6" t="s">
        <v>39</v>
      </c>
      <c r="B6" t="s">
        <v>137</v>
      </c>
      <c r="C6" t="s">
        <v>30</v>
      </c>
      <c r="D6" t="s">
        <v>97</v>
      </c>
      <c r="E6">
        <v>1</v>
      </c>
      <c r="F6" t="s">
        <v>101</v>
      </c>
    </row>
    <row r="7" spans="1:7" x14ac:dyDescent="0.25">
      <c r="A7" t="s">
        <v>39</v>
      </c>
      <c r="B7" t="s">
        <v>137</v>
      </c>
      <c r="C7" t="s">
        <v>33</v>
      </c>
      <c r="D7" t="s">
        <v>97</v>
      </c>
      <c r="E7">
        <v>1</v>
      </c>
      <c r="F7" t="s">
        <v>101</v>
      </c>
    </row>
    <row r="8" spans="1:7" x14ac:dyDescent="0.25">
      <c r="A8" t="s">
        <v>39</v>
      </c>
      <c r="B8" t="s">
        <v>137</v>
      </c>
      <c r="C8" t="s">
        <v>31</v>
      </c>
      <c r="D8" t="s">
        <v>95</v>
      </c>
      <c r="E8">
        <v>1</v>
      </c>
      <c r="F8" t="s">
        <v>101</v>
      </c>
    </row>
    <row r="9" spans="1:7" x14ac:dyDescent="0.25">
      <c r="A9" t="s">
        <v>39</v>
      </c>
      <c r="B9" t="s">
        <v>139</v>
      </c>
      <c r="C9" t="s">
        <v>10</v>
      </c>
      <c r="D9" t="s">
        <v>96</v>
      </c>
      <c r="E9">
        <v>1</v>
      </c>
      <c r="F9" t="s">
        <v>101</v>
      </c>
    </row>
    <row r="10" spans="1:7" x14ac:dyDescent="0.25">
      <c r="A10" t="s">
        <v>39</v>
      </c>
      <c r="B10" t="s">
        <v>139</v>
      </c>
      <c r="C10" t="s">
        <v>29</v>
      </c>
      <c r="D10" t="s">
        <v>96</v>
      </c>
      <c r="E10">
        <v>1</v>
      </c>
      <c r="F10" t="s">
        <v>101</v>
      </c>
    </row>
    <row r="11" spans="1:7" x14ac:dyDescent="0.25">
      <c r="A11" t="s">
        <v>39</v>
      </c>
      <c r="B11" t="s">
        <v>139</v>
      </c>
      <c r="C11" t="s">
        <v>32</v>
      </c>
      <c r="D11" t="s">
        <v>96</v>
      </c>
      <c r="E11">
        <v>0</v>
      </c>
      <c r="F11" t="s">
        <v>101</v>
      </c>
    </row>
    <row r="12" spans="1:7" x14ac:dyDescent="0.25">
      <c r="A12" t="s">
        <v>39</v>
      </c>
      <c r="B12" t="s">
        <v>139</v>
      </c>
      <c r="C12" t="s">
        <v>34</v>
      </c>
      <c r="D12" t="s">
        <v>95</v>
      </c>
      <c r="E12">
        <v>50</v>
      </c>
      <c r="F12" t="s">
        <v>35</v>
      </c>
    </row>
    <row r="13" spans="1:7" x14ac:dyDescent="0.25">
      <c r="A13" t="s">
        <v>39</v>
      </c>
      <c r="B13" t="s">
        <v>139</v>
      </c>
      <c r="C13" t="s">
        <v>30</v>
      </c>
      <c r="D13" t="s">
        <v>97</v>
      </c>
      <c r="E13">
        <v>1</v>
      </c>
      <c r="F13" t="s">
        <v>101</v>
      </c>
    </row>
    <row r="14" spans="1:7" x14ac:dyDescent="0.25">
      <c r="A14" t="s">
        <v>39</v>
      </c>
      <c r="B14" t="s">
        <v>139</v>
      </c>
      <c r="C14" t="s">
        <v>33</v>
      </c>
      <c r="D14" t="s">
        <v>97</v>
      </c>
      <c r="E14">
        <v>1</v>
      </c>
      <c r="F14" t="s">
        <v>101</v>
      </c>
    </row>
    <row r="15" spans="1:7" x14ac:dyDescent="0.25">
      <c r="A15" t="s">
        <v>39</v>
      </c>
      <c r="B15" t="s">
        <v>139</v>
      </c>
      <c r="C15" t="s">
        <v>31</v>
      </c>
      <c r="D15" t="s">
        <v>95</v>
      </c>
      <c r="E15">
        <v>1</v>
      </c>
      <c r="F15" t="s">
        <v>101</v>
      </c>
    </row>
    <row r="16" spans="1:7" x14ac:dyDescent="0.25">
      <c r="A16" t="s">
        <v>39</v>
      </c>
      <c r="B16" t="s">
        <v>153</v>
      </c>
      <c r="C16" t="s">
        <v>10</v>
      </c>
      <c r="D16" t="s">
        <v>96</v>
      </c>
      <c r="E16">
        <v>1</v>
      </c>
      <c r="F16" t="s">
        <v>101</v>
      </c>
    </row>
    <row r="17" spans="1:6" x14ac:dyDescent="0.25">
      <c r="A17" t="s">
        <v>39</v>
      </c>
      <c r="B17" t="s">
        <v>153</v>
      </c>
      <c r="C17" t="s">
        <v>29</v>
      </c>
      <c r="D17" t="s">
        <v>96</v>
      </c>
      <c r="E17">
        <v>1</v>
      </c>
      <c r="F17" t="s">
        <v>101</v>
      </c>
    </row>
    <row r="18" spans="1:6" x14ac:dyDescent="0.25">
      <c r="A18" t="s">
        <v>39</v>
      </c>
      <c r="B18" t="s">
        <v>153</v>
      </c>
      <c r="C18" t="s">
        <v>32</v>
      </c>
      <c r="D18" t="s">
        <v>96</v>
      </c>
      <c r="E18">
        <v>0</v>
      </c>
      <c r="F18" t="s">
        <v>101</v>
      </c>
    </row>
    <row r="19" spans="1:6" x14ac:dyDescent="0.25">
      <c r="A19" t="s">
        <v>39</v>
      </c>
      <c r="B19" t="s">
        <v>153</v>
      </c>
      <c r="C19" t="s">
        <v>34</v>
      </c>
      <c r="D19" t="s">
        <v>95</v>
      </c>
      <c r="E19">
        <v>50</v>
      </c>
      <c r="F19" t="s">
        <v>35</v>
      </c>
    </row>
    <row r="20" spans="1:6" x14ac:dyDescent="0.25">
      <c r="A20" t="s">
        <v>39</v>
      </c>
      <c r="B20" t="s">
        <v>153</v>
      </c>
      <c r="C20" t="s">
        <v>30</v>
      </c>
      <c r="D20" t="s">
        <v>97</v>
      </c>
      <c r="E20">
        <v>1</v>
      </c>
      <c r="F20" t="s">
        <v>101</v>
      </c>
    </row>
    <row r="21" spans="1:6" x14ac:dyDescent="0.25">
      <c r="A21" t="s">
        <v>39</v>
      </c>
      <c r="B21" t="s">
        <v>153</v>
      </c>
      <c r="C21" t="s">
        <v>33</v>
      </c>
      <c r="D21" t="s">
        <v>97</v>
      </c>
      <c r="E21">
        <v>1</v>
      </c>
      <c r="F21" t="s">
        <v>101</v>
      </c>
    </row>
    <row r="22" spans="1:6" x14ac:dyDescent="0.25">
      <c r="A22" t="s">
        <v>39</v>
      </c>
      <c r="B22" t="s">
        <v>153</v>
      </c>
      <c r="C22" t="s">
        <v>31</v>
      </c>
      <c r="D22" t="s">
        <v>95</v>
      </c>
      <c r="E22">
        <v>1</v>
      </c>
      <c r="F22" t="s">
        <v>101</v>
      </c>
    </row>
    <row r="23" spans="1:6" x14ac:dyDescent="0.25">
      <c r="A23" t="s">
        <v>39</v>
      </c>
      <c r="B23" t="s">
        <v>136</v>
      </c>
      <c r="C23" t="s">
        <v>10</v>
      </c>
      <c r="D23" t="s">
        <v>96</v>
      </c>
      <c r="E23">
        <v>1</v>
      </c>
      <c r="F23" t="s">
        <v>101</v>
      </c>
    </row>
    <row r="24" spans="1:6" x14ac:dyDescent="0.25">
      <c r="A24" t="s">
        <v>39</v>
      </c>
      <c r="B24" t="s">
        <v>136</v>
      </c>
      <c r="C24" t="s">
        <v>29</v>
      </c>
      <c r="D24" t="s">
        <v>96</v>
      </c>
      <c r="E24">
        <v>1</v>
      </c>
      <c r="F24" t="s">
        <v>101</v>
      </c>
    </row>
    <row r="25" spans="1:6" x14ac:dyDescent="0.25">
      <c r="A25" t="s">
        <v>39</v>
      </c>
      <c r="B25" t="s">
        <v>136</v>
      </c>
      <c r="C25" t="s">
        <v>32</v>
      </c>
      <c r="D25" t="s">
        <v>96</v>
      </c>
      <c r="E25">
        <v>0</v>
      </c>
      <c r="F25" t="s">
        <v>101</v>
      </c>
    </row>
    <row r="26" spans="1:6" x14ac:dyDescent="0.25">
      <c r="A26" t="s">
        <v>39</v>
      </c>
      <c r="B26" t="s">
        <v>136</v>
      </c>
      <c r="C26" t="s">
        <v>34</v>
      </c>
      <c r="D26" t="s">
        <v>95</v>
      </c>
      <c r="E26">
        <v>50</v>
      </c>
      <c r="F26" t="s">
        <v>35</v>
      </c>
    </row>
    <row r="27" spans="1:6" x14ac:dyDescent="0.25">
      <c r="A27" t="s">
        <v>39</v>
      </c>
      <c r="B27" t="s">
        <v>136</v>
      </c>
      <c r="C27" t="s">
        <v>30</v>
      </c>
      <c r="D27" t="s">
        <v>97</v>
      </c>
      <c r="E27">
        <v>1</v>
      </c>
      <c r="F27" t="s">
        <v>101</v>
      </c>
    </row>
    <row r="28" spans="1:6" x14ac:dyDescent="0.25">
      <c r="A28" t="s">
        <v>39</v>
      </c>
      <c r="B28" t="s">
        <v>136</v>
      </c>
      <c r="C28" t="s">
        <v>33</v>
      </c>
      <c r="D28" t="s">
        <v>97</v>
      </c>
      <c r="E28">
        <v>1</v>
      </c>
      <c r="F28" t="s">
        <v>101</v>
      </c>
    </row>
    <row r="29" spans="1:6" x14ac:dyDescent="0.25">
      <c r="A29" t="s">
        <v>39</v>
      </c>
      <c r="B29" t="s">
        <v>136</v>
      </c>
      <c r="C29" t="s">
        <v>31</v>
      </c>
      <c r="D29" t="s">
        <v>95</v>
      </c>
      <c r="E29">
        <v>1</v>
      </c>
      <c r="F29" t="s">
        <v>101</v>
      </c>
    </row>
    <row r="30" spans="1:6" x14ac:dyDescent="0.25">
      <c r="A30" t="s">
        <v>39</v>
      </c>
      <c r="B30" t="s">
        <v>138</v>
      </c>
      <c r="C30" t="s">
        <v>10</v>
      </c>
      <c r="D30" t="s">
        <v>96</v>
      </c>
      <c r="E30">
        <v>1</v>
      </c>
      <c r="F30" t="s">
        <v>101</v>
      </c>
    </row>
    <row r="31" spans="1:6" x14ac:dyDescent="0.25">
      <c r="A31" t="s">
        <v>39</v>
      </c>
      <c r="B31" t="s">
        <v>138</v>
      </c>
      <c r="C31" t="s">
        <v>29</v>
      </c>
      <c r="D31" t="s">
        <v>96</v>
      </c>
      <c r="E31">
        <v>1</v>
      </c>
      <c r="F31" t="s">
        <v>101</v>
      </c>
    </row>
    <row r="32" spans="1:6" x14ac:dyDescent="0.25">
      <c r="A32" t="s">
        <v>39</v>
      </c>
      <c r="B32" t="s">
        <v>138</v>
      </c>
      <c r="C32" t="s">
        <v>32</v>
      </c>
      <c r="D32" t="s">
        <v>96</v>
      </c>
      <c r="E32">
        <v>0</v>
      </c>
      <c r="F32" t="s">
        <v>101</v>
      </c>
    </row>
    <row r="33" spans="1:6" x14ac:dyDescent="0.25">
      <c r="A33" t="s">
        <v>39</v>
      </c>
      <c r="B33" t="s">
        <v>138</v>
      </c>
      <c r="C33" t="s">
        <v>34</v>
      </c>
      <c r="D33" t="s">
        <v>95</v>
      </c>
      <c r="E33">
        <v>50</v>
      </c>
      <c r="F33" t="s">
        <v>35</v>
      </c>
    </row>
    <row r="34" spans="1:6" x14ac:dyDescent="0.25">
      <c r="A34" t="s">
        <v>39</v>
      </c>
      <c r="B34" t="s">
        <v>138</v>
      </c>
      <c r="C34" t="s">
        <v>30</v>
      </c>
      <c r="D34" t="s">
        <v>97</v>
      </c>
      <c r="E34">
        <v>1</v>
      </c>
      <c r="F34" t="s">
        <v>101</v>
      </c>
    </row>
    <row r="35" spans="1:6" x14ac:dyDescent="0.25">
      <c r="A35" t="s">
        <v>39</v>
      </c>
      <c r="B35" t="s">
        <v>138</v>
      </c>
      <c r="C35" t="s">
        <v>33</v>
      </c>
      <c r="D35" t="s">
        <v>97</v>
      </c>
      <c r="E35">
        <v>1</v>
      </c>
      <c r="F35" t="s">
        <v>101</v>
      </c>
    </row>
    <row r="36" spans="1:6" x14ac:dyDescent="0.25">
      <c r="A36" t="s">
        <v>39</v>
      </c>
      <c r="B36" t="s">
        <v>138</v>
      </c>
      <c r="C36" t="s">
        <v>31</v>
      </c>
      <c r="D36" t="s">
        <v>95</v>
      </c>
      <c r="E36">
        <v>1</v>
      </c>
      <c r="F36" t="s">
        <v>101</v>
      </c>
    </row>
    <row r="37" spans="1:6" x14ac:dyDescent="0.25">
      <c r="A37" t="s">
        <v>39</v>
      </c>
      <c r="B37" t="s">
        <v>134</v>
      </c>
      <c r="C37" t="s">
        <v>10</v>
      </c>
      <c r="D37" t="s">
        <v>96</v>
      </c>
      <c r="E37">
        <v>1</v>
      </c>
      <c r="F37" t="s">
        <v>101</v>
      </c>
    </row>
    <row r="38" spans="1:6" x14ac:dyDescent="0.25">
      <c r="A38" t="s">
        <v>39</v>
      </c>
      <c r="B38" t="s">
        <v>134</v>
      </c>
      <c r="C38" t="s">
        <v>29</v>
      </c>
      <c r="D38" t="s">
        <v>96</v>
      </c>
      <c r="E38">
        <v>1</v>
      </c>
      <c r="F38" t="s">
        <v>101</v>
      </c>
    </row>
    <row r="39" spans="1:6" x14ac:dyDescent="0.25">
      <c r="A39" t="s">
        <v>39</v>
      </c>
      <c r="B39" t="s">
        <v>134</v>
      </c>
      <c r="C39" t="s">
        <v>32</v>
      </c>
      <c r="D39" t="s">
        <v>96</v>
      </c>
      <c r="E39">
        <v>0</v>
      </c>
      <c r="F39" t="s">
        <v>101</v>
      </c>
    </row>
    <row r="40" spans="1:6" x14ac:dyDescent="0.25">
      <c r="A40" t="s">
        <v>39</v>
      </c>
      <c r="B40" t="s">
        <v>134</v>
      </c>
      <c r="C40" t="s">
        <v>34</v>
      </c>
      <c r="D40" t="s">
        <v>95</v>
      </c>
      <c r="E40">
        <v>50</v>
      </c>
      <c r="F40" t="s">
        <v>35</v>
      </c>
    </row>
    <row r="41" spans="1:6" x14ac:dyDescent="0.25">
      <c r="A41" t="s">
        <v>39</v>
      </c>
      <c r="B41" t="s">
        <v>134</v>
      </c>
      <c r="C41" t="s">
        <v>30</v>
      </c>
      <c r="D41" t="s">
        <v>97</v>
      </c>
      <c r="E41">
        <v>1</v>
      </c>
      <c r="F41" t="s">
        <v>101</v>
      </c>
    </row>
    <row r="42" spans="1:6" x14ac:dyDescent="0.25">
      <c r="A42" t="s">
        <v>39</v>
      </c>
      <c r="B42" t="s">
        <v>134</v>
      </c>
      <c r="C42" t="s">
        <v>33</v>
      </c>
      <c r="D42" t="s">
        <v>97</v>
      </c>
      <c r="E42">
        <v>1</v>
      </c>
      <c r="F42" t="s">
        <v>101</v>
      </c>
    </row>
    <row r="43" spans="1:6" x14ac:dyDescent="0.25">
      <c r="A43" t="s">
        <v>39</v>
      </c>
      <c r="B43" t="s">
        <v>134</v>
      </c>
      <c r="C43" t="s">
        <v>31</v>
      </c>
      <c r="D43" t="s">
        <v>95</v>
      </c>
      <c r="E43">
        <v>1</v>
      </c>
      <c r="F43" t="s">
        <v>101</v>
      </c>
    </row>
    <row r="44" spans="1:6" x14ac:dyDescent="0.25">
      <c r="A44" t="s">
        <v>39</v>
      </c>
      <c r="B44" t="s">
        <v>145</v>
      </c>
      <c r="C44" t="s">
        <v>10</v>
      </c>
      <c r="D44" t="s">
        <v>96</v>
      </c>
      <c r="E44">
        <v>1</v>
      </c>
      <c r="F44" t="s">
        <v>101</v>
      </c>
    </row>
    <row r="45" spans="1:6" x14ac:dyDescent="0.25">
      <c r="A45" t="s">
        <v>39</v>
      </c>
      <c r="B45" t="s">
        <v>145</v>
      </c>
      <c r="C45" t="s">
        <v>29</v>
      </c>
      <c r="D45" t="s">
        <v>96</v>
      </c>
      <c r="E45">
        <v>1</v>
      </c>
      <c r="F45" t="s">
        <v>101</v>
      </c>
    </row>
    <row r="46" spans="1:6" x14ac:dyDescent="0.25">
      <c r="A46" t="s">
        <v>39</v>
      </c>
      <c r="B46" t="s">
        <v>145</v>
      </c>
      <c r="C46" t="s">
        <v>32</v>
      </c>
      <c r="D46" t="s">
        <v>96</v>
      </c>
      <c r="E46">
        <v>0</v>
      </c>
      <c r="F46" t="s">
        <v>101</v>
      </c>
    </row>
    <row r="47" spans="1:6" x14ac:dyDescent="0.25">
      <c r="A47" t="s">
        <v>39</v>
      </c>
      <c r="B47" t="s">
        <v>145</v>
      </c>
      <c r="C47" t="s">
        <v>34</v>
      </c>
      <c r="D47" t="s">
        <v>95</v>
      </c>
      <c r="E47">
        <v>50</v>
      </c>
      <c r="F47" t="s">
        <v>35</v>
      </c>
    </row>
    <row r="48" spans="1:6" x14ac:dyDescent="0.25">
      <c r="A48" t="s">
        <v>39</v>
      </c>
      <c r="B48" t="s">
        <v>145</v>
      </c>
      <c r="C48" t="s">
        <v>30</v>
      </c>
      <c r="D48" t="s">
        <v>97</v>
      </c>
      <c r="E48">
        <v>1</v>
      </c>
      <c r="F48" t="s">
        <v>101</v>
      </c>
    </row>
    <row r="49" spans="1:6" x14ac:dyDescent="0.25">
      <c r="A49" t="s">
        <v>39</v>
      </c>
      <c r="B49" t="s">
        <v>145</v>
      </c>
      <c r="C49" t="s">
        <v>33</v>
      </c>
      <c r="D49" t="s">
        <v>97</v>
      </c>
      <c r="E49">
        <v>1</v>
      </c>
      <c r="F49" t="s">
        <v>101</v>
      </c>
    </row>
    <row r="50" spans="1:6" x14ac:dyDescent="0.25">
      <c r="A50" t="s">
        <v>39</v>
      </c>
      <c r="B50" t="s">
        <v>145</v>
      </c>
      <c r="C50" t="s">
        <v>31</v>
      </c>
      <c r="D50" t="s">
        <v>95</v>
      </c>
      <c r="E50">
        <v>1</v>
      </c>
      <c r="F50" t="s">
        <v>101</v>
      </c>
    </row>
    <row r="51" spans="1:6" x14ac:dyDescent="0.25">
      <c r="A51" t="s">
        <v>39</v>
      </c>
      <c r="B51" t="s">
        <v>146</v>
      </c>
      <c r="C51" t="s">
        <v>10</v>
      </c>
      <c r="D51" t="s">
        <v>96</v>
      </c>
      <c r="E51">
        <v>1</v>
      </c>
      <c r="F51" t="s">
        <v>101</v>
      </c>
    </row>
    <row r="52" spans="1:6" x14ac:dyDescent="0.25">
      <c r="A52" t="s">
        <v>39</v>
      </c>
      <c r="B52" t="s">
        <v>146</v>
      </c>
      <c r="C52" t="s">
        <v>29</v>
      </c>
      <c r="D52" t="s">
        <v>96</v>
      </c>
      <c r="E52">
        <v>1</v>
      </c>
      <c r="F52" t="s">
        <v>101</v>
      </c>
    </row>
    <row r="53" spans="1:6" x14ac:dyDescent="0.25">
      <c r="A53" t="s">
        <v>39</v>
      </c>
      <c r="B53" t="s">
        <v>146</v>
      </c>
      <c r="C53" t="s">
        <v>32</v>
      </c>
      <c r="D53" t="s">
        <v>96</v>
      </c>
      <c r="E53">
        <v>0</v>
      </c>
      <c r="F53" t="s">
        <v>101</v>
      </c>
    </row>
    <row r="54" spans="1:6" x14ac:dyDescent="0.25">
      <c r="A54" t="s">
        <v>39</v>
      </c>
      <c r="B54" t="s">
        <v>146</v>
      </c>
      <c r="C54" t="s">
        <v>34</v>
      </c>
      <c r="D54" t="s">
        <v>95</v>
      </c>
      <c r="E54">
        <v>50</v>
      </c>
      <c r="F54" t="s">
        <v>35</v>
      </c>
    </row>
    <row r="55" spans="1:6" x14ac:dyDescent="0.25">
      <c r="A55" t="s">
        <v>39</v>
      </c>
      <c r="B55" t="s">
        <v>146</v>
      </c>
      <c r="C55" t="s">
        <v>30</v>
      </c>
      <c r="D55" t="s">
        <v>97</v>
      </c>
      <c r="E55">
        <v>1</v>
      </c>
      <c r="F55" t="s">
        <v>101</v>
      </c>
    </row>
    <row r="56" spans="1:6" x14ac:dyDescent="0.25">
      <c r="A56" t="s">
        <v>39</v>
      </c>
      <c r="B56" t="s">
        <v>146</v>
      </c>
      <c r="C56" t="s">
        <v>33</v>
      </c>
      <c r="D56" t="s">
        <v>97</v>
      </c>
      <c r="E56">
        <v>1</v>
      </c>
      <c r="F56" t="s">
        <v>101</v>
      </c>
    </row>
    <row r="57" spans="1:6" x14ac:dyDescent="0.25">
      <c r="A57" t="s">
        <v>39</v>
      </c>
      <c r="B57" t="s">
        <v>146</v>
      </c>
      <c r="C57" t="s">
        <v>31</v>
      </c>
      <c r="D57" t="s">
        <v>95</v>
      </c>
      <c r="E57">
        <v>1</v>
      </c>
      <c r="F57" t="s">
        <v>101</v>
      </c>
    </row>
    <row r="58" spans="1:6" x14ac:dyDescent="0.25">
      <c r="A58" t="s">
        <v>39</v>
      </c>
      <c r="B58" t="s">
        <v>147</v>
      </c>
      <c r="C58" t="s">
        <v>10</v>
      </c>
      <c r="D58" t="s">
        <v>96</v>
      </c>
      <c r="E58">
        <v>1</v>
      </c>
      <c r="F58" t="s">
        <v>101</v>
      </c>
    </row>
    <row r="59" spans="1:6" x14ac:dyDescent="0.25">
      <c r="A59" t="s">
        <v>39</v>
      </c>
      <c r="B59" t="s">
        <v>147</v>
      </c>
      <c r="C59" t="s">
        <v>29</v>
      </c>
      <c r="D59" t="s">
        <v>96</v>
      </c>
      <c r="E59">
        <v>1</v>
      </c>
      <c r="F59" t="s">
        <v>101</v>
      </c>
    </row>
    <row r="60" spans="1:6" x14ac:dyDescent="0.25">
      <c r="A60" t="s">
        <v>39</v>
      </c>
      <c r="B60" t="s">
        <v>147</v>
      </c>
      <c r="C60" t="s">
        <v>32</v>
      </c>
      <c r="D60" t="s">
        <v>96</v>
      </c>
      <c r="E60">
        <v>0</v>
      </c>
      <c r="F60" t="s">
        <v>101</v>
      </c>
    </row>
    <row r="61" spans="1:6" x14ac:dyDescent="0.25">
      <c r="A61" t="s">
        <v>39</v>
      </c>
      <c r="B61" t="s">
        <v>147</v>
      </c>
      <c r="C61" t="s">
        <v>34</v>
      </c>
      <c r="D61" t="s">
        <v>95</v>
      </c>
      <c r="E61">
        <v>50</v>
      </c>
      <c r="F61" t="s">
        <v>35</v>
      </c>
    </row>
    <row r="62" spans="1:6" x14ac:dyDescent="0.25">
      <c r="A62" t="s">
        <v>39</v>
      </c>
      <c r="B62" t="s">
        <v>147</v>
      </c>
      <c r="C62" t="s">
        <v>30</v>
      </c>
      <c r="D62" t="s">
        <v>97</v>
      </c>
      <c r="E62">
        <v>1</v>
      </c>
      <c r="F62" t="s">
        <v>101</v>
      </c>
    </row>
    <row r="63" spans="1:6" x14ac:dyDescent="0.25">
      <c r="A63" t="s">
        <v>39</v>
      </c>
      <c r="B63" t="s">
        <v>147</v>
      </c>
      <c r="C63" t="s">
        <v>33</v>
      </c>
      <c r="D63" t="s">
        <v>97</v>
      </c>
      <c r="E63">
        <v>1</v>
      </c>
      <c r="F63" t="s">
        <v>101</v>
      </c>
    </row>
    <row r="64" spans="1:6" x14ac:dyDescent="0.25">
      <c r="A64" t="s">
        <v>39</v>
      </c>
      <c r="B64" t="s">
        <v>147</v>
      </c>
      <c r="C64" t="s">
        <v>31</v>
      </c>
      <c r="D64" t="s">
        <v>95</v>
      </c>
      <c r="E64">
        <v>1</v>
      </c>
      <c r="F64" t="s">
        <v>101</v>
      </c>
    </row>
    <row r="65" spans="1:6" x14ac:dyDescent="0.25">
      <c r="A65" t="s">
        <v>39</v>
      </c>
      <c r="B65" t="s">
        <v>156</v>
      </c>
      <c r="C65" t="s">
        <v>10</v>
      </c>
      <c r="D65" t="s">
        <v>96</v>
      </c>
      <c r="E65">
        <v>1</v>
      </c>
      <c r="F65" t="s">
        <v>101</v>
      </c>
    </row>
    <row r="66" spans="1:6" x14ac:dyDescent="0.25">
      <c r="A66" t="s">
        <v>39</v>
      </c>
      <c r="B66" t="s">
        <v>156</v>
      </c>
      <c r="C66" t="s">
        <v>29</v>
      </c>
      <c r="D66" t="s">
        <v>96</v>
      </c>
      <c r="E66">
        <v>1</v>
      </c>
      <c r="F66" t="s">
        <v>101</v>
      </c>
    </row>
    <row r="67" spans="1:6" x14ac:dyDescent="0.25">
      <c r="A67" t="s">
        <v>39</v>
      </c>
      <c r="B67" t="s">
        <v>156</v>
      </c>
      <c r="C67" t="s">
        <v>32</v>
      </c>
      <c r="D67" t="s">
        <v>96</v>
      </c>
      <c r="E67">
        <v>0</v>
      </c>
      <c r="F67" t="s">
        <v>101</v>
      </c>
    </row>
    <row r="68" spans="1:6" x14ac:dyDescent="0.25">
      <c r="A68" t="s">
        <v>39</v>
      </c>
      <c r="B68" t="s">
        <v>156</v>
      </c>
      <c r="C68" t="s">
        <v>34</v>
      </c>
      <c r="D68" t="s">
        <v>95</v>
      </c>
      <c r="E68">
        <v>50</v>
      </c>
      <c r="F68" t="s">
        <v>35</v>
      </c>
    </row>
    <row r="69" spans="1:6" x14ac:dyDescent="0.25">
      <c r="A69" t="s">
        <v>39</v>
      </c>
      <c r="B69" t="s">
        <v>156</v>
      </c>
      <c r="C69" t="s">
        <v>30</v>
      </c>
      <c r="D69" t="s">
        <v>97</v>
      </c>
      <c r="E69">
        <v>1</v>
      </c>
      <c r="F69" t="s">
        <v>101</v>
      </c>
    </row>
    <row r="70" spans="1:6" x14ac:dyDescent="0.25">
      <c r="A70" t="s">
        <v>39</v>
      </c>
      <c r="B70" t="s">
        <v>156</v>
      </c>
      <c r="C70" t="s">
        <v>33</v>
      </c>
      <c r="D70" t="s">
        <v>97</v>
      </c>
      <c r="E70">
        <v>1</v>
      </c>
      <c r="F70" t="s">
        <v>101</v>
      </c>
    </row>
    <row r="71" spans="1:6" x14ac:dyDescent="0.25">
      <c r="A71" t="s">
        <v>39</v>
      </c>
      <c r="B71" t="s">
        <v>156</v>
      </c>
      <c r="C71" t="s">
        <v>31</v>
      </c>
      <c r="D71" t="s">
        <v>95</v>
      </c>
      <c r="E71">
        <v>1</v>
      </c>
      <c r="F71" t="s">
        <v>101</v>
      </c>
    </row>
    <row r="72" spans="1:6" x14ac:dyDescent="0.25">
      <c r="A72" t="s">
        <v>39</v>
      </c>
      <c r="B72" t="s">
        <v>155</v>
      </c>
      <c r="C72" t="s">
        <v>10</v>
      </c>
      <c r="D72" t="s">
        <v>96</v>
      </c>
      <c r="E72">
        <v>1</v>
      </c>
      <c r="F72" t="s">
        <v>101</v>
      </c>
    </row>
    <row r="73" spans="1:6" x14ac:dyDescent="0.25">
      <c r="A73" t="s">
        <v>39</v>
      </c>
      <c r="B73" t="s">
        <v>155</v>
      </c>
      <c r="C73" t="s">
        <v>29</v>
      </c>
      <c r="D73" t="s">
        <v>96</v>
      </c>
      <c r="E73">
        <v>1</v>
      </c>
      <c r="F73" t="s">
        <v>101</v>
      </c>
    </row>
    <row r="74" spans="1:6" x14ac:dyDescent="0.25">
      <c r="A74" t="s">
        <v>39</v>
      </c>
      <c r="B74" t="s">
        <v>155</v>
      </c>
      <c r="C74" t="s">
        <v>32</v>
      </c>
      <c r="D74" t="s">
        <v>96</v>
      </c>
      <c r="E74">
        <v>0</v>
      </c>
      <c r="F74" t="s">
        <v>101</v>
      </c>
    </row>
    <row r="75" spans="1:6" x14ac:dyDescent="0.25">
      <c r="A75" t="s">
        <v>39</v>
      </c>
      <c r="B75" t="s">
        <v>155</v>
      </c>
      <c r="C75" t="s">
        <v>34</v>
      </c>
      <c r="D75" t="s">
        <v>95</v>
      </c>
      <c r="E75">
        <v>50</v>
      </c>
      <c r="F75" t="s">
        <v>35</v>
      </c>
    </row>
    <row r="76" spans="1:6" x14ac:dyDescent="0.25">
      <c r="A76" t="s">
        <v>39</v>
      </c>
      <c r="B76" t="s">
        <v>155</v>
      </c>
      <c r="C76" t="s">
        <v>30</v>
      </c>
      <c r="D76" t="s">
        <v>97</v>
      </c>
      <c r="E76">
        <v>1</v>
      </c>
      <c r="F76" t="s">
        <v>101</v>
      </c>
    </row>
    <row r="77" spans="1:6" x14ac:dyDescent="0.25">
      <c r="A77" t="s">
        <v>39</v>
      </c>
      <c r="B77" t="s">
        <v>155</v>
      </c>
      <c r="C77" t="s">
        <v>33</v>
      </c>
      <c r="D77" t="s">
        <v>97</v>
      </c>
      <c r="E77">
        <v>1</v>
      </c>
      <c r="F77" t="s">
        <v>101</v>
      </c>
    </row>
    <row r="78" spans="1:6" x14ac:dyDescent="0.25">
      <c r="A78" t="s">
        <v>39</v>
      </c>
      <c r="B78" t="s">
        <v>155</v>
      </c>
      <c r="C78" t="s">
        <v>31</v>
      </c>
      <c r="D78" t="s">
        <v>95</v>
      </c>
      <c r="E78">
        <v>1</v>
      </c>
      <c r="F78" t="s">
        <v>101</v>
      </c>
    </row>
    <row r="79" spans="1:6" x14ac:dyDescent="0.25">
      <c r="A79" t="s">
        <v>39</v>
      </c>
      <c r="B79" t="s">
        <v>154</v>
      </c>
      <c r="C79" t="s">
        <v>10</v>
      </c>
      <c r="D79" t="s">
        <v>96</v>
      </c>
      <c r="E79">
        <v>1</v>
      </c>
      <c r="F79" t="s">
        <v>101</v>
      </c>
    </row>
    <row r="80" spans="1:6" x14ac:dyDescent="0.25">
      <c r="A80" t="s">
        <v>39</v>
      </c>
      <c r="B80" t="s">
        <v>154</v>
      </c>
      <c r="C80" t="s">
        <v>29</v>
      </c>
      <c r="D80" t="s">
        <v>96</v>
      </c>
      <c r="E80">
        <v>1</v>
      </c>
      <c r="F80" t="s">
        <v>101</v>
      </c>
    </row>
    <row r="81" spans="1:6" x14ac:dyDescent="0.25">
      <c r="A81" t="s">
        <v>39</v>
      </c>
      <c r="B81" t="s">
        <v>154</v>
      </c>
      <c r="C81" t="s">
        <v>32</v>
      </c>
      <c r="D81" t="s">
        <v>96</v>
      </c>
      <c r="E81">
        <v>0</v>
      </c>
      <c r="F81" t="s">
        <v>101</v>
      </c>
    </row>
    <row r="82" spans="1:6" x14ac:dyDescent="0.25">
      <c r="A82" t="s">
        <v>39</v>
      </c>
      <c r="B82" t="s">
        <v>154</v>
      </c>
      <c r="C82" t="s">
        <v>34</v>
      </c>
      <c r="D82" t="s">
        <v>95</v>
      </c>
      <c r="E82">
        <v>50</v>
      </c>
      <c r="F82" t="s">
        <v>35</v>
      </c>
    </row>
    <row r="83" spans="1:6" x14ac:dyDescent="0.25">
      <c r="A83" t="s">
        <v>39</v>
      </c>
      <c r="B83" t="s">
        <v>154</v>
      </c>
      <c r="C83" t="s">
        <v>30</v>
      </c>
      <c r="D83" t="s">
        <v>97</v>
      </c>
      <c r="E83">
        <v>1</v>
      </c>
      <c r="F83" t="s">
        <v>101</v>
      </c>
    </row>
    <row r="84" spans="1:6" x14ac:dyDescent="0.25">
      <c r="A84" t="s">
        <v>39</v>
      </c>
      <c r="B84" t="s">
        <v>154</v>
      </c>
      <c r="C84" t="s">
        <v>33</v>
      </c>
      <c r="D84" t="s">
        <v>97</v>
      </c>
      <c r="E84">
        <v>1</v>
      </c>
      <c r="F84" t="s">
        <v>101</v>
      </c>
    </row>
    <row r="85" spans="1:6" x14ac:dyDescent="0.25">
      <c r="A85" t="s">
        <v>39</v>
      </c>
      <c r="B85" t="s">
        <v>154</v>
      </c>
      <c r="C85" t="s">
        <v>31</v>
      </c>
      <c r="D85" t="s">
        <v>95</v>
      </c>
      <c r="E85">
        <v>1</v>
      </c>
      <c r="F85" t="s">
        <v>101</v>
      </c>
    </row>
    <row r="86" spans="1:6" x14ac:dyDescent="0.25">
      <c r="A86" t="s">
        <v>39</v>
      </c>
      <c r="B86" t="s">
        <v>133</v>
      </c>
      <c r="C86" t="s">
        <v>10</v>
      </c>
      <c r="D86" t="s">
        <v>96</v>
      </c>
      <c r="E86">
        <v>1</v>
      </c>
      <c r="F86" t="s">
        <v>101</v>
      </c>
    </row>
    <row r="87" spans="1:6" x14ac:dyDescent="0.25">
      <c r="A87" t="s">
        <v>39</v>
      </c>
      <c r="B87" t="s">
        <v>133</v>
      </c>
      <c r="C87" t="s">
        <v>29</v>
      </c>
      <c r="D87" t="s">
        <v>96</v>
      </c>
      <c r="E87">
        <v>1</v>
      </c>
      <c r="F87" t="s">
        <v>101</v>
      </c>
    </row>
    <row r="88" spans="1:6" x14ac:dyDescent="0.25">
      <c r="A88" t="s">
        <v>39</v>
      </c>
      <c r="B88" t="s">
        <v>133</v>
      </c>
      <c r="C88" t="s">
        <v>32</v>
      </c>
      <c r="D88" t="s">
        <v>96</v>
      </c>
      <c r="E88">
        <v>0</v>
      </c>
      <c r="F88" t="s">
        <v>101</v>
      </c>
    </row>
    <row r="89" spans="1:6" x14ac:dyDescent="0.25">
      <c r="A89" t="s">
        <v>39</v>
      </c>
      <c r="B89" t="s">
        <v>133</v>
      </c>
      <c r="C89" t="s">
        <v>34</v>
      </c>
      <c r="D89" t="s">
        <v>95</v>
      </c>
      <c r="E89">
        <v>50</v>
      </c>
      <c r="F89" t="s">
        <v>35</v>
      </c>
    </row>
    <row r="90" spans="1:6" x14ac:dyDescent="0.25">
      <c r="A90" t="s">
        <v>39</v>
      </c>
      <c r="B90" t="s">
        <v>133</v>
      </c>
      <c r="C90" t="s">
        <v>30</v>
      </c>
      <c r="D90" t="s">
        <v>97</v>
      </c>
      <c r="E90">
        <v>1</v>
      </c>
      <c r="F90" t="s">
        <v>101</v>
      </c>
    </row>
    <row r="91" spans="1:6" x14ac:dyDescent="0.25">
      <c r="A91" t="s">
        <v>39</v>
      </c>
      <c r="B91" t="s">
        <v>133</v>
      </c>
      <c r="C91" t="s">
        <v>33</v>
      </c>
      <c r="D91" t="s">
        <v>97</v>
      </c>
      <c r="E91">
        <v>1</v>
      </c>
      <c r="F91" t="s">
        <v>101</v>
      </c>
    </row>
    <row r="92" spans="1:6" x14ac:dyDescent="0.25">
      <c r="A92" t="s">
        <v>39</v>
      </c>
      <c r="B92" t="s">
        <v>133</v>
      </c>
      <c r="C92" t="s">
        <v>31</v>
      </c>
      <c r="D92" t="s">
        <v>95</v>
      </c>
      <c r="E92">
        <v>1</v>
      </c>
      <c r="F92" t="s">
        <v>101</v>
      </c>
    </row>
  </sheetData>
  <autoFilter ref="A1:G92" xr:uid="{7FB20890-62B7-47AF-BA68-650F053D99C5}"/>
  <sortState xmlns:xlrd2="http://schemas.microsoft.com/office/spreadsheetml/2017/richdata2" ref="A2:G239">
    <sortCondition ref="B2:B239"/>
    <sortCondition ref="A2:A239"/>
    <sortCondition ref="C2:C239"/>
    <sortCondition ref="D2:D23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5A35C-8A58-4D70-9436-2E641DE51D25}">
  <sheetPr filterMode="1"/>
  <dimension ref="A1:G313"/>
  <sheetViews>
    <sheetView tabSelected="1" zoomScaleNormal="100" workbookViewId="0">
      <selection activeCell="C312" sqref="C312"/>
    </sheetView>
  </sheetViews>
  <sheetFormatPr defaultRowHeight="15" x14ac:dyDescent="0.25"/>
  <cols>
    <col min="1" max="1" width="13.42578125" bestFit="1" customWidth="1"/>
    <col min="2" max="2" width="27.7109375" bestFit="1" customWidth="1"/>
    <col min="3" max="3" width="27.7109375" customWidth="1"/>
    <col min="4" max="4" width="8.85546875" bestFit="1" customWidth="1"/>
    <col min="5" max="5" width="58.7109375" customWidth="1"/>
    <col min="6" max="6" width="18.42578125" bestFit="1" customWidth="1"/>
    <col min="7" max="7" width="81.42578125" bestFit="1" customWidth="1"/>
    <col min="8" max="8" width="6.28515625" bestFit="1" customWidth="1"/>
  </cols>
  <sheetData>
    <row r="1" spans="1:7" x14ac:dyDescent="0.25">
      <c r="A1" t="s">
        <v>4</v>
      </c>
      <c r="B1" t="s">
        <v>1</v>
      </c>
      <c r="C1" t="s">
        <v>13</v>
      </c>
      <c r="D1" t="s">
        <v>7</v>
      </c>
      <c r="E1" t="s">
        <v>14</v>
      </c>
      <c r="F1" t="s">
        <v>15</v>
      </c>
      <c r="G1" t="s">
        <v>3</v>
      </c>
    </row>
    <row r="2" spans="1:7" hidden="1" x14ac:dyDescent="0.25">
      <c r="A2" t="s">
        <v>39</v>
      </c>
      <c r="B2" t="s">
        <v>136</v>
      </c>
      <c r="C2" t="s">
        <v>59</v>
      </c>
      <c r="D2">
        <v>0</v>
      </c>
      <c r="E2" t="s">
        <v>121</v>
      </c>
      <c r="F2" t="s">
        <v>43</v>
      </c>
      <c r="G2" t="s">
        <v>73</v>
      </c>
    </row>
    <row r="3" spans="1:7" hidden="1" x14ac:dyDescent="0.25">
      <c r="A3" t="s">
        <v>39</v>
      </c>
      <c r="B3" t="s">
        <v>136</v>
      </c>
      <c r="C3" t="s">
        <v>63</v>
      </c>
      <c r="D3">
        <v>1</v>
      </c>
      <c r="E3" t="s">
        <v>122</v>
      </c>
      <c r="F3" t="s">
        <v>43</v>
      </c>
      <c r="G3" t="s">
        <v>74</v>
      </c>
    </row>
    <row r="4" spans="1:7" hidden="1" x14ac:dyDescent="0.25">
      <c r="A4" t="s">
        <v>39</v>
      </c>
      <c r="B4" t="s">
        <v>136</v>
      </c>
      <c r="C4" t="s">
        <v>54</v>
      </c>
      <c r="D4">
        <v>2</v>
      </c>
      <c r="E4" t="s">
        <v>123</v>
      </c>
      <c r="F4" t="s">
        <v>43</v>
      </c>
      <c r="G4" t="s">
        <v>75</v>
      </c>
    </row>
    <row r="5" spans="1:7" hidden="1" x14ac:dyDescent="0.25">
      <c r="A5" t="s">
        <v>39</v>
      </c>
      <c r="B5" t="s">
        <v>136</v>
      </c>
      <c r="C5" t="s">
        <v>55</v>
      </c>
      <c r="D5">
        <v>3</v>
      </c>
      <c r="E5" t="s">
        <v>123</v>
      </c>
      <c r="F5" t="s">
        <v>43</v>
      </c>
      <c r="G5" t="s">
        <v>76</v>
      </c>
    </row>
    <row r="6" spans="1:7" hidden="1" x14ac:dyDescent="0.25">
      <c r="A6" t="s">
        <v>39</v>
      </c>
      <c r="B6" t="s">
        <v>136</v>
      </c>
      <c r="C6" t="s">
        <v>56</v>
      </c>
      <c r="D6">
        <v>4</v>
      </c>
      <c r="E6" t="s">
        <v>121</v>
      </c>
      <c r="F6" t="s">
        <v>43</v>
      </c>
      <c r="G6" t="s">
        <v>77</v>
      </c>
    </row>
    <row r="7" spans="1:7" hidden="1" x14ac:dyDescent="0.25">
      <c r="A7" t="s">
        <v>39</v>
      </c>
      <c r="B7" t="s">
        <v>136</v>
      </c>
      <c r="C7" t="s">
        <v>64</v>
      </c>
      <c r="D7">
        <v>5</v>
      </c>
      <c r="E7" t="s">
        <v>126</v>
      </c>
      <c r="F7" t="s">
        <v>41</v>
      </c>
      <c r="G7" t="s">
        <v>85</v>
      </c>
    </row>
    <row r="8" spans="1:7" hidden="1" x14ac:dyDescent="0.25">
      <c r="A8" t="s">
        <v>39</v>
      </c>
      <c r="B8" t="s">
        <v>136</v>
      </c>
      <c r="C8" t="s">
        <v>61</v>
      </c>
      <c r="D8">
        <v>6</v>
      </c>
      <c r="E8" t="s">
        <v>127</v>
      </c>
      <c r="F8" t="s">
        <v>42</v>
      </c>
      <c r="G8" t="s">
        <v>78</v>
      </c>
    </row>
    <row r="9" spans="1:7" hidden="1" x14ac:dyDescent="0.25">
      <c r="A9" t="s">
        <v>39</v>
      </c>
      <c r="B9" t="s">
        <v>136</v>
      </c>
      <c r="C9" t="s">
        <v>62</v>
      </c>
      <c r="D9">
        <v>7</v>
      </c>
      <c r="E9">
        <v>13</v>
      </c>
      <c r="F9" t="s">
        <v>71</v>
      </c>
      <c r="G9" t="s">
        <v>79</v>
      </c>
    </row>
    <row r="10" spans="1:7" hidden="1" x14ac:dyDescent="0.25">
      <c r="A10" t="s">
        <v>39</v>
      </c>
      <c r="B10" t="s">
        <v>136</v>
      </c>
      <c r="C10" t="s">
        <v>65</v>
      </c>
      <c r="D10">
        <v>8</v>
      </c>
      <c r="E10" t="s">
        <v>128</v>
      </c>
      <c r="F10" t="s">
        <v>42</v>
      </c>
      <c r="G10" t="s">
        <v>84</v>
      </c>
    </row>
    <row r="11" spans="1:7" hidden="1" x14ac:dyDescent="0.25">
      <c r="A11" t="s">
        <v>39</v>
      </c>
      <c r="B11" t="s">
        <v>136</v>
      </c>
      <c r="C11" t="s">
        <v>58</v>
      </c>
      <c r="D11">
        <v>9</v>
      </c>
      <c r="E11" t="s">
        <v>119</v>
      </c>
      <c r="F11" t="s">
        <v>43</v>
      </c>
      <c r="G11" t="s">
        <v>117</v>
      </c>
    </row>
    <row r="12" spans="1:7" hidden="1" x14ac:dyDescent="0.25">
      <c r="A12" t="s">
        <v>39</v>
      </c>
      <c r="B12" t="s">
        <v>136</v>
      </c>
      <c r="C12" t="s">
        <v>60</v>
      </c>
      <c r="D12">
        <v>10</v>
      </c>
      <c r="E12" t="s">
        <v>119</v>
      </c>
      <c r="F12" t="s">
        <v>43</v>
      </c>
      <c r="G12" t="s">
        <v>118</v>
      </c>
    </row>
    <row r="13" spans="1:7" hidden="1" x14ac:dyDescent="0.25">
      <c r="A13" t="s">
        <v>39</v>
      </c>
      <c r="B13" t="s">
        <v>136</v>
      </c>
      <c r="C13" t="s">
        <v>57</v>
      </c>
      <c r="D13">
        <v>11</v>
      </c>
      <c r="E13" t="s">
        <v>119</v>
      </c>
      <c r="F13" t="s">
        <v>43</v>
      </c>
      <c r="G13" t="s">
        <v>80</v>
      </c>
    </row>
    <row r="14" spans="1:7" hidden="1" x14ac:dyDescent="0.25">
      <c r="A14" t="s">
        <v>39</v>
      </c>
      <c r="B14" t="s">
        <v>136</v>
      </c>
      <c r="C14" t="s">
        <v>40</v>
      </c>
      <c r="D14">
        <v>12</v>
      </c>
      <c r="E14" t="s">
        <v>124</v>
      </c>
      <c r="F14" t="s">
        <v>43</v>
      </c>
      <c r="G14" t="s">
        <v>81</v>
      </c>
    </row>
    <row r="15" spans="1:7" hidden="1" x14ac:dyDescent="0.25">
      <c r="A15" t="s">
        <v>39</v>
      </c>
      <c r="B15" t="s">
        <v>136</v>
      </c>
      <c r="C15" t="s">
        <v>70</v>
      </c>
      <c r="D15">
        <v>13</v>
      </c>
      <c r="E15" t="s">
        <v>125</v>
      </c>
      <c r="F15" t="s">
        <v>44</v>
      </c>
      <c r="G15" t="s">
        <v>82</v>
      </c>
    </row>
    <row r="16" spans="1:7" hidden="1" x14ac:dyDescent="0.25">
      <c r="A16" t="s">
        <v>39</v>
      </c>
      <c r="B16" t="s">
        <v>136</v>
      </c>
      <c r="C16" t="s">
        <v>45</v>
      </c>
      <c r="D16">
        <v>14</v>
      </c>
      <c r="E16">
        <v>13</v>
      </c>
      <c r="F16" t="s">
        <v>71</v>
      </c>
      <c r="G16" t="s">
        <v>46</v>
      </c>
    </row>
    <row r="17" spans="1:7" hidden="1" x14ac:dyDescent="0.25">
      <c r="A17" t="s">
        <v>39</v>
      </c>
      <c r="B17" t="s">
        <v>136</v>
      </c>
      <c r="C17" t="s">
        <v>53</v>
      </c>
      <c r="D17">
        <v>15</v>
      </c>
      <c r="E17">
        <v>1</v>
      </c>
      <c r="F17" t="s">
        <v>71</v>
      </c>
      <c r="G17" t="s">
        <v>83</v>
      </c>
    </row>
    <row r="18" spans="1:7" hidden="1" x14ac:dyDescent="0.25">
      <c r="A18" t="s">
        <v>39</v>
      </c>
      <c r="B18" t="s">
        <v>136</v>
      </c>
      <c r="C18" t="s">
        <v>47</v>
      </c>
      <c r="D18">
        <v>16</v>
      </c>
      <c r="E18" t="s">
        <v>152</v>
      </c>
      <c r="F18" t="s">
        <v>71</v>
      </c>
      <c r="G18" t="s">
        <v>51</v>
      </c>
    </row>
    <row r="19" spans="1:7" hidden="1" x14ac:dyDescent="0.25">
      <c r="A19" t="s">
        <v>39</v>
      </c>
      <c r="B19" t="s">
        <v>136</v>
      </c>
      <c r="C19" t="s">
        <v>48</v>
      </c>
      <c r="D19">
        <v>17</v>
      </c>
      <c r="E19" t="s">
        <v>152</v>
      </c>
      <c r="F19" t="s">
        <v>71</v>
      </c>
      <c r="G19" t="s">
        <v>50</v>
      </c>
    </row>
    <row r="20" spans="1:7" hidden="1" x14ac:dyDescent="0.25">
      <c r="A20" t="s">
        <v>39</v>
      </c>
      <c r="B20" t="s">
        <v>136</v>
      </c>
      <c r="C20" t="s">
        <v>49</v>
      </c>
      <c r="D20">
        <v>18</v>
      </c>
      <c r="E20" t="s">
        <v>152</v>
      </c>
      <c r="F20" t="s">
        <v>71</v>
      </c>
      <c r="G20" t="s">
        <v>52</v>
      </c>
    </row>
    <row r="21" spans="1:7" hidden="1" x14ac:dyDescent="0.25">
      <c r="A21" t="s">
        <v>39</v>
      </c>
      <c r="B21" t="s">
        <v>136</v>
      </c>
      <c r="C21" t="s">
        <v>68</v>
      </c>
      <c r="D21">
        <v>19</v>
      </c>
      <c r="E21">
        <v>250000000</v>
      </c>
      <c r="F21" t="s">
        <v>72</v>
      </c>
      <c r="G21" t="s">
        <v>66</v>
      </c>
    </row>
    <row r="22" spans="1:7" hidden="1" x14ac:dyDescent="0.25">
      <c r="A22" t="s">
        <v>39</v>
      </c>
      <c r="B22" t="s">
        <v>136</v>
      </c>
      <c r="C22" t="s">
        <v>69</v>
      </c>
      <c r="D22">
        <v>20</v>
      </c>
      <c r="E22">
        <v>150000000</v>
      </c>
      <c r="F22" t="s">
        <v>72</v>
      </c>
      <c r="G22" t="s">
        <v>67</v>
      </c>
    </row>
    <row r="23" spans="1:7" x14ac:dyDescent="0.25">
      <c r="A23" t="s">
        <v>39</v>
      </c>
      <c r="B23" t="s">
        <v>136</v>
      </c>
      <c r="C23" t="s">
        <v>86</v>
      </c>
      <c r="D23">
        <v>21</v>
      </c>
      <c r="E23" t="s">
        <v>140</v>
      </c>
      <c r="F23" t="s">
        <v>88</v>
      </c>
      <c r="G23" t="s">
        <v>90</v>
      </c>
    </row>
    <row r="24" spans="1:7" x14ac:dyDescent="0.25">
      <c r="A24" t="s">
        <v>39</v>
      </c>
      <c r="B24" t="s">
        <v>136</v>
      </c>
      <c r="C24" t="s">
        <v>87</v>
      </c>
      <c r="D24">
        <v>22</v>
      </c>
      <c r="E24" t="s">
        <v>141</v>
      </c>
      <c r="F24" t="s">
        <v>89</v>
      </c>
      <c r="G24" t="s">
        <v>91</v>
      </c>
    </row>
    <row r="25" spans="1:7" hidden="1" x14ac:dyDescent="0.25">
      <c r="A25" t="s">
        <v>39</v>
      </c>
      <c r="B25" t="s">
        <v>136</v>
      </c>
      <c r="C25" t="s">
        <v>92</v>
      </c>
      <c r="D25">
        <v>23</v>
      </c>
      <c r="E25">
        <v>1</v>
      </c>
      <c r="F25" t="s">
        <v>88</v>
      </c>
      <c r="G25" t="s">
        <v>93</v>
      </c>
    </row>
    <row r="26" spans="1:7" hidden="1" x14ac:dyDescent="0.25">
      <c r="A26" t="s">
        <v>39</v>
      </c>
      <c r="B26" t="s">
        <v>138</v>
      </c>
      <c r="C26" t="s">
        <v>59</v>
      </c>
      <c r="D26">
        <v>0</v>
      </c>
      <c r="E26" t="s">
        <v>121</v>
      </c>
      <c r="F26" t="s">
        <v>43</v>
      </c>
      <c r="G26" t="s">
        <v>73</v>
      </c>
    </row>
    <row r="27" spans="1:7" hidden="1" x14ac:dyDescent="0.25">
      <c r="A27" t="s">
        <v>39</v>
      </c>
      <c r="B27" t="s">
        <v>138</v>
      </c>
      <c r="C27" t="s">
        <v>63</v>
      </c>
      <c r="D27">
        <v>1</v>
      </c>
      <c r="E27" t="s">
        <v>122</v>
      </c>
      <c r="F27" t="s">
        <v>43</v>
      </c>
      <c r="G27" t="s">
        <v>74</v>
      </c>
    </row>
    <row r="28" spans="1:7" hidden="1" x14ac:dyDescent="0.25">
      <c r="A28" t="s">
        <v>39</v>
      </c>
      <c r="B28" t="s">
        <v>138</v>
      </c>
      <c r="C28" t="s">
        <v>54</v>
      </c>
      <c r="D28">
        <v>2</v>
      </c>
      <c r="E28" t="s">
        <v>123</v>
      </c>
      <c r="F28" t="s">
        <v>43</v>
      </c>
      <c r="G28" t="s">
        <v>75</v>
      </c>
    </row>
    <row r="29" spans="1:7" hidden="1" x14ac:dyDescent="0.25">
      <c r="A29" t="s">
        <v>39</v>
      </c>
      <c r="B29" t="s">
        <v>138</v>
      </c>
      <c r="C29" t="s">
        <v>55</v>
      </c>
      <c r="D29">
        <v>3</v>
      </c>
      <c r="E29" t="s">
        <v>123</v>
      </c>
      <c r="F29" t="s">
        <v>43</v>
      </c>
      <c r="G29" t="s">
        <v>76</v>
      </c>
    </row>
    <row r="30" spans="1:7" hidden="1" x14ac:dyDescent="0.25">
      <c r="A30" t="s">
        <v>39</v>
      </c>
      <c r="B30" t="s">
        <v>138</v>
      </c>
      <c r="C30" t="s">
        <v>56</v>
      </c>
      <c r="D30">
        <v>4</v>
      </c>
      <c r="E30" t="s">
        <v>121</v>
      </c>
      <c r="F30" t="s">
        <v>43</v>
      </c>
      <c r="G30" t="s">
        <v>77</v>
      </c>
    </row>
    <row r="31" spans="1:7" hidden="1" x14ac:dyDescent="0.25">
      <c r="A31" t="s">
        <v>39</v>
      </c>
      <c r="B31" t="s">
        <v>138</v>
      </c>
      <c r="C31" t="s">
        <v>64</v>
      </c>
      <c r="D31">
        <v>5</v>
      </c>
      <c r="E31" t="s">
        <v>126</v>
      </c>
      <c r="F31" t="s">
        <v>41</v>
      </c>
      <c r="G31" t="s">
        <v>85</v>
      </c>
    </row>
    <row r="32" spans="1:7" hidden="1" x14ac:dyDescent="0.25">
      <c r="A32" t="s">
        <v>39</v>
      </c>
      <c r="B32" t="s">
        <v>138</v>
      </c>
      <c r="C32" t="s">
        <v>61</v>
      </c>
      <c r="D32">
        <v>6</v>
      </c>
      <c r="E32" t="s">
        <v>127</v>
      </c>
      <c r="F32" t="s">
        <v>42</v>
      </c>
      <c r="G32" t="s">
        <v>78</v>
      </c>
    </row>
    <row r="33" spans="1:7" hidden="1" x14ac:dyDescent="0.25">
      <c r="A33" t="s">
        <v>39</v>
      </c>
      <c r="B33" t="s">
        <v>138</v>
      </c>
      <c r="C33" t="s">
        <v>62</v>
      </c>
      <c r="D33">
        <v>7</v>
      </c>
      <c r="E33">
        <v>13</v>
      </c>
      <c r="F33" t="s">
        <v>71</v>
      </c>
      <c r="G33" t="s">
        <v>79</v>
      </c>
    </row>
    <row r="34" spans="1:7" hidden="1" x14ac:dyDescent="0.25">
      <c r="A34" t="s">
        <v>39</v>
      </c>
      <c r="B34" t="s">
        <v>138</v>
      </c>
      <c r="C34" t="s">
        <v>65</v>
      </c>
      <c r="D34">
        <v>8</v>
      </c>
      <c r="E34" t="s">
        <v>128</v>
      </c>
      <c r="F34" t="s">
        <v>42</v>
      </c>
      <c r="G34" t="s">
        <v>84</v>
      </c>
    </row>
    <row r="35" spans="1:7" hidden="1" x14ac:dyDescent="0.25">
      <c r="A35" t="s">
        <v>39</v>
      </c>
      <c r="B35" t="s">
        <v>138</v>
      </c>
      <c r="C35" t="s">
        <v>58</v>
      </c>
      <c r="D35">
        <v>9</v>
      </c>
      <c r="E35" t="s">
        <v>119</v>
      </c>
      <c r="F35" t="s">
        <v>43</v>
      </c>
      <c r="G35" t="s">
        <v>117</v>
      </c>
    </row>
    <row r="36" spans="1:7" hidden="1" x14ac:dyDescent="0.25">
      <c r="A36" t="s">
        <v>39</v>
      </c>
      <c r="B36" t="s">
        <v>138</v>
      </c>
      <c r="C36" t="s">
        <v>60</v>
      </c>
      <c r="D36">
        <v>10</v>
      </c>
      <c r="E36" t="s">
        <v>119</v>
      </c>
      <c r="F36" t="s">
        <v>43</v>
      </c>
      <c r="G36" t="s">
        <v>118</v>
      </c>
    </row>
    <row r="37" spans="1:7" hidden="1" x14ac:dyDescent="0.25">
      <c r="A37" t="s">
        <v>39</v>
      </c>
      <c r="B37" t="s">
        <v>138</v>
      </c>
      <c r="C37" t="s">
        <v>57</v>
      </c>
      <c r="D37">
        <v>11</v>
      </c>
      <c r="E37" t="s">
        <v>119</v>
      </c>
      <c r="F37" t="s">
        <v>43</v>
      </c>
      <c r="G37" t="s">
        <v>80</v>
      </c>
    </row>
    <row r="38" spans="1:7" hidden="1" x14ac:dyDescent="0.25">
      <c r="A38" t="s">
        <v>39</v>
      </c>
      <c r="B38" t="s">
        <v>138</v>
      </c>
      <c r="C38" t="s">
        <v>40</v>
      </c>
      <c r="D38">
        <v>12</v>
      </c>
      <c r="E38" t="s">
        <v>124</v>
      </c>
      <c r="F38" t="s">
        <v>43</v>
      </c>
      <c r="G38" t="s">
        <v>81</v>
      </c>
    </row>
    <row r="39" spans="1:7" hidden="1" x14ac:dyDescent="0.25">
      <c r="A39" t="s">
        <v>39</v>
      </c>
      <c r="B39" t="s">
        <v>138</v>
      </c>
      <c r="C39" t="s">
        <v>70</v>
      </c>
      <c r="D39">
        <v>13</v>
      </c>
      <c r="E39" t="s">
        <v>125</v>
      </c>
      <c r="F39" t="s">
        <v>44</v>
      </c>
      <c r="G39" t="s">
        <v>82</v>
      </c>
    </row>
    <row r="40" spans="1:7" hidden="1" x14ac:dyDescent="0.25">
      <c r="A40" t="s">
        <v>39</v>
      </c>
      <c r="B40" t="s">
        <v>138</v>
      </c>
      <c r="C40" t="s">
        <v>45</v>
      </c>
      <c r="D40">
        <v>14</v>
      </c>
      <c r="E40">
        <v>13</v>
      </c>
      <c r="F40" t="s">
        <v>71</v>
      </c>
      <c r="G40" t="s">
        <v>46</v>
      </c>
    </row>
    <row r="41" spans="1:7" hidden="1" x14ac:dyDescent="0.25">
      <c r="A41" t="s">
        <v>39</v>
      </c>
      <c r="B41" t="s">
        <v>138</v>
      </c>
      <c r="C41" t="s">
        <v>53</v>
      </c>
      <c r="D41">
        <v>15</v>
      </c>
      <c r="E41">
        <v>13</v>
      </c>
      <c r="F41" t="s">
        <v>71</v>
      </c>
      <c r="G41" t="s">
        <v>83</v>
      </c>
    </row>
    <row r="42" spans="1:7" hidden="1" x14ac:dyDescent="0.25">
      <c r="A42" t="s">
        <v>39</v>
      </c>
      <c r="B42" t="s">
        <v>138</v>
      </c>
      <c r="C42" t="s">
        <v>47</v>
      </c>
      <c r="D42">
        <v>16</v>
      </c>
      <c r="E42" t="s">
        <v>152</v>
      </c>
      <c r="F42" t="s">
        <v>71</v>
      </c>
      <c r="G42" t="s">
        <v>51</v>
      </c>
    </row>
    <row r="43" spans="1:7" hidden="1" x14ac:dyDescent="0.25">
      <c r="A43" t="s">
        <v>39</v>
      </c>
      <c r="B43" t="s">
        <v>138</v>
      </c>
      <c r="C43" t="s">
        <v>48</v>
      </c>
      <c r="D43">
        <v>17</v>
      </c>
      <c r="E43" t="s">
        <v>152</v>
      </c>
      <c r="F43" t="s">
        <v>71</v>
      </c>
      <c r="G43" t="s">
        <v>50</v>
      </c>
    </row>
    <row r="44" spans="1:7" hidden="1" x14ac:dyDescent="0.25">
      <c r="A44" t="s">
        <v>39</v>
      </c>
      <c r="B44" t="s">
        <v>138</v>
      </c>
      <c r="C44" t="s">
        <v>49</v>
      </c>
      <c r="D44">
        <v>18</v>
      </c>
      <c r="E44" t="s">
        <v>152</v>
      </c>
      <c r="F44" t="s">
        <v>71</v>
      </c>
      <c r="G44" t="s">
        <v>52</v>
      </c>
    </row>
    <row r="45" spans="1:7" hidden="1" x14ac:dyDescent="0.25">
      <c r="A45" t="s">
        <v>39</v>
      </c>
      <c r="B45" t="s">
        <v>138</v>
      </c>
      <c r="C45" t="s">
        <v>68</v>
      </c>
      <c r="D45">
        <v>19</v>
      </c>
      <c r="E45">
        <v>250000000</v>
      </c>
      <c r="F45" t="s">
        <v>72</v>
      </c>
      <c r="G45" t="s">
        <v>66</v>
      </c>
    </row>
    <row r="46" spans="1:7" hidden="1" x14ac:dyDescent="0.25">
      <c r="A46" t="s">
        <v>39</v>
      </c>
      <c r="B46" t="s">
        <v>138</v>
      </c>
      <c r="C46" t="s">
        <v>69</v>
      </c>
      <c r="D46">
        <v>20</v>
      </c>
      <c r="E46">
        <v>150000000</v>
      </c>
      <c r="F46" t="s">
        <v>72</v>
      </c>
      <c r="G46" t="s">
        <v>67</v>
      </c>
    </row>
    <row r="47" spans="1:7" x14ac:dyDescent="0.25">
      <c r="A47" t="s">
        <v>39</v>
      </c>
      <c r="B47" t="s">
        <v>138</v>
      </c>
      <c r="C47" t="s">
        <v>86</v>
      </c>
      <c r="D47">
        <v>21</v>
      </c>
      <c r="E47" t="s">
        <v>140</v>
      </c>
      <c r="F47" t="s">
        <v>88</v>
      </c>
      <c r="G47" t="s">
        <v>90</v>
      </c>
    </row>
    <row r="48" spans="1:7" x14ac:dyDescent="0.25">
      <c r="A48" t="s">
        <v>39</v>
      </c>
      <c r="B48" t="s">
        <v>138</v>
      </c>
      <c r="C48" t="s">
        <v>87</v>
      </c>
      <c r="D48">
        <v>22</v>
      </c>
      <c r="E48" t="s">
        <v>141</v>
      </c>
      <c r="F48" t="s">
        <v>89</v>
      </c>
      <c r="G48" t="s">
        <v>91</v>
      </c>
    </row>
    <row r="49" spans="1:7" hidden="1" x14ac:dyDescent="0.25">
      <c r="A49" t="s">
        <v>39</v>
      </c>
      <c r="B49" t="s">
        <v>138</v>
      </c>
      <c r="C49" t="s">
        <v>92</v>
      </c>
      <c r="D49">
        <v>23</v>
      </c>
      <c r="E49">
        <v>1</v>
      </c>
      <c r="F49" t="s">
        <v>88</v>
      </c>
      <c r="G49" t="s">
        <v>93</v>
      </c>
    </row>
    <row r="50" spans="1:7" hidden="1" x14ac:dyDescent="0.25">
      <c r="A50" t="s">
        <v>39</v>
      </c>
      <c r="B50" t="s">
        <v>133</v>
      </c>
      <c r="C50" t="s">
        <v>59</v>
      </c>
      <c r="D50">
        <v>0</v>
      </c>
      <c r="E50" t="s">
        <v>121</v>
      </c>
      <c r="F50" t="s">
        <v>43</v>
      </c>
      <c r="G50" t="s">
        <v>73</v>
      </c>
    </row>
    <row r="51" spans="1:7" hidden="1" x14ac:dyDescent="0.25">
      <c r="A51" t="s">
        <v>39</v>
      </c>
      <c r="B51" t="s">
        <v>133</v>
      </c>
      <c r="C51" t="s">
        <v>63</v>
      </c>
      <c r="D51">
        <v>1</v>
      </c>
      <c r="E51" t="s">
        <v>122</v>
      </c>
      <c r="F51" t="s">
        <v>43</v>
      </c>
      <c r="G51" t="s">
        <v>74</v>
      </c>
    </row>
    <row r="52" spans="1:7" hidden="1" x14ac:dyDescent="0.25">
      <c r="A52" t="s">
        <v>39</v>
      </c>
      <c r="B52" t="s">
        <v>133</v>
      </c>
      <c r="C52" t="s">
        <v>54</v>
      </c>
      <c r="D52">
        <v>2</v>
      </c>
      <c r="E52" t="s">
        <v>123</v>
      </c>
      <c r="F52" t="s">
        <v>43</v>
      </c>
      <c r="G52" t="s">
        <v>75</v>
      </c>
    </row>
    <row r="53" spans="1:7" hidden="1" x14ac:dyDescent="0.25">
      <c r="A53" t="s">
        <v>39</v>
      </c>
      <c r="B53" t="s">
        <v>133</v>
      </c>
      <c r="C53" t="s">
        <v>55</v>
      </c>
      <c r="D53">
        <v>3</v>
      </c>
      <c r="E53" t="s">
        <v>123</v>
      </c>
      <c r="F53" t="s">
        <v>43</v>
      </c>
      <c r="G53" t="s">
        <v>76</v>
      </c>
    </row>
    <row r="54" spans="1:7" hidden="1" x14ac:dyDescent="0.25">
      <c r="A54" t="s">
        <v>39</v>
      </c>
      <c r="B54" t="s">
        <v>133</v>
      </c>
      <c r="C54" t="s">
        <v>56</v>
      </c>
      <c r="D54">
        <v>4</v>
      </c>
      <c r="E54" t="s">
        <v>121</v>
      </c>
      <c r="F54" t="s">
        <v>43</v>
      </c>
      <c r="G54" t="s">
        <v>77</v>
      </c>
    </row>
    <row r="55" spans="1:7" hidden="1" x14ac:dyDescent="0.25">
      <c r="A55" t="s">
        <v>39</v>
      </c>
      <c r="B55" t="s">
        <v>133</v>
      </c>
      <c r="C55" t="s">
        <v>64</v>
      </c>
      <c r="D55">
        <v>5</v>
      </c>
      <c r="E55" t="s">
        <v>126</v>
      </c>
      <c r="F55" t="s">
        <v>41</v>
      </c>
      <c r="G55" t="s">
        <v>85</v>
      </c>
    </row>
    <row r="56" spans="1:7" hidden="1" x14ac:dyDescent="0.25">
      <c r="A56" t="s">
        <v>39</v>
      </c>
      <c r="B56" t="s">
        <v>133</v>
      </c>
      <c r="C56" t="s">
        <v>61</v>
      </c>
      <c r="D56">
        <v>6</v>
      </c>
      <c r="E56" t="s">
        <v>127</v>
      </c>
      <c r="F56" t="s">
        <v>42</v>
      </c>
      <c r="G56" t="s">
        <v>78</v>
      </c>
    </row>
    <row r="57" spans="1:7" hidden="1" x14ac:dyDescent="0.25">
      <c r="A57" t="s">
        <v>39</v>
      </c>
      <c r="B57" t="s">
        <v>133</v>
      </c>
      <c r="C57" t="s">
        <v>62</v>
      </c>
      <c r="D57">
        <v>7</v>
      </c>
      <c r="E57">
        <v>6</v>
      </c>
      <c r="F57" t="s">
        <v>71</v>
      </c>
      <c r="G57" t="s">
        <v>79</v>
      </c>
    </row>
    <row r="58" spans="1:7" hidden="1" x14ac:dyDescent="0.25">
      <c r="A58" t="s">
        <v>39</v>
      </c>
      <c r="B58" t="s">
        <v>133</v>
      </c>
      <c r="C58" t="s">
        <v>65</v>
      </c>
      <c r="D58">
        <v>8</v>
      </c>
      <c r="E58" t="s">
        <v>128</v>
      </c>
      <c r="F58" t="s">
        <v>42</v>
      </c>
      <c r="G58" t="s">
        <v>84</v>
      </c>
    </row>
    <row r="59" spans="1:7" hidden="1" x14ac:dyDescent="0.25">
      <c r="A59" t="s">
        <v>39</v>
      </c>
      <c r="B59" t="s">
        <v>133</v>
      </c>
      <c r="C59" t="s">
        <v>58</v>
      </c>
      <c r="D59">
        <v>9</v>
      </c>
      <c r="E59" t="s">
        <v>119</v>
      </c>
      <c r="F59" t="s">
        <v>43</v>
      </c>
      <c r="G59" t="s">
        <v>117</v>
      </c>
    </row>
    <row r="60" spans="1:7" hidden="1" x14ac:dyDescent="0.25">
      <c r="A60" t="s">
        <v>39</v>
      </c>
      <c r="B60" t="s">
        <v>133</v>
      </c>
      <c r="C60" t="s">
        <v>60</v>
      </c>
      <c r="D60">
        <v>10</v>
      </c>
      <c r="E60" t="s">
        <v>119</v>
      </c>
      <c r="F60" t="s">
        <v>43</v>
      </c>
      <c r="G60" t="s">
        <v>118</v>
      </c>
    </row>
    <row r="61" spans="1:7" hidden="1" x14ac:dyDescent="0.25">
      <c r="A61" t="s">
        <v>39</v>
      </c>
      <c r="B61" t="s">
        <v>133</v>
      </c>
      <c r="C61" t="s">
        <v>57</v>
      </c>
      <c r="D61">
        <v>11</v>
      </c>
      <c r="E61" t="s">
        <v>119</v>
      </c>
      <c r="F61" t="s">
        <v>43</v>
      </c>
      <c r="G61" t="s">
        <v>80</v>
      </c>
    </row>
    <row r="62" spans="1:7" hidden="1" x14ac:dyDescent="0.25">
      <c r="A62" t="s">
        <v>39</v>
      </c>
      <c r="B62" t="s">
        <v>133</v>
      </c>
      <c r="C62" t="s">
        <v>40</v>
      </c>
      <c r="D62">
        <v>12</v>
      </c>
      <c r="E62" t="s">
        <v>124</v>
      </c>
      <c r="F62" t="s">
        <v>43</v>
      </c>
      <c r="G62" t="s">
        <v>81</v>
      </c>
    </row>
    <row r="63" spans="1:7" hidden="1" x14ac:dyDescent="0.25">
      <c r="A63" t="s">
        <v>39</v>
      </c>
      <c r="B63" t="s">
        <v>133</v>
      </c>
      <c r="C63" t="s">
        <v>70</v>
      </c>
      <c r="D63">
        <v>13</v>
      </c>
      <c r="E63" t="s">
        <v>125</v>
      </c>
      <c r="F63" t="s">
        <v>44</v>
      </c>
      <c r="G63" t="s">
        <v>82</v>
      </c>
    </row>
    <row r="64" spans="1:7" hidden="1" x14ac:dyDescent="0.25">
      <c r="A64" t="s">
        <v>39</v>
      </c>
      <c r="B64" t="s">
        <v>133</v>
      </c>
      <c r="C64" t="s">
        <v>45</v>
      </c>
      <c r="D64">
        <v>14</v>
      </c>
      <c r="E64">
        <v>6</v>
      </c>
      <c r="F64" t="s">
        <v>71</v>
      </c>
      <c r="G64" t="s">
        <v>46</v>
      </c>
    </row>
    <row r="65" spans="1:7" hidden="1" x14ac:dyDescent="0.25">
      <c r="A65" t="s">
        <v>39</v>
      </c>
      <c r="B65" t="s">
        <v>133</v>
      </c>
      <c r="C65" t="s">
        <v>53</v>
      </c>
      <c r="D65">
        <v>15</v>
      </c>
      <c r="E65">
        <v>3</v>
      </c>
      <c r="F65" t="s">
        <v>71</v>
      </c>
      <c r="G65" t="s">
        <v>83</v>
      </c>
    </row>
    <row r="66" spans="1:7" hidden="1" x14ac:dyDescent="0.25">
      <c r="A66" t="s">
        <v>39</v>
      </c>
      <c r="B66" t="s">
        <v>133</v>
      </c>
      <c r="C66" t="s">
        <v>47</v>
      </c>
      <c r="D66">
        <v>16</v>
      </c>
      <c r="E66" t="s">
        <v>135</v>
      </c>
      <c r="F66" t="s">
        <v>71</v>
      </c>
      <c r="G66" t="s">
        <v>51</v>
      </c>
    </row>
    <row r="67" spans="1:7" hidden="1" x14ac:dyDescent="0.25">
      <c r="A67" t="s">
        <v>39</v>
      </c>
      <c r="B67" t="s">
        <v>133</v>
      </c>
      <c r="C67" t="s">
        <v>48</v>
      </c>
      <c r="D67">
        <v>17</v>
      </c>
      <c r="E67" t="s">
        <v>135</v>
      </c>
      <c r="F67" t="s">
        <v>71</v>
      </c>
      <c r="G67" t="s">
        <v>50</v>
      </c>
    </row>
    <row r="68" spans="1:7" hidden="1" x14ac:dyDescent="0.25">
      <c r="A68" t="s">
        <v>39</v>
      </c>
      <c r="B68" t="s">
        <v>133</v>
      </c>
      <c r="C68" t="s">
        <v>49</v>
      </c>
      <c r="D68">
        <v>18</v>
      </c>
      <c r="E68" t="s">
        <v>135</v>
      </c>
      <c r="F68" t="s">
        <v>71</v>
      </c>
      <c r="G68" t="s">
        <v>52</v>
      </c>
    </row>
    <row r="69" spans="1:7" hidden="1" x14ac:dyDescent="0.25">
      <c r="A69" t="s">
        <v>39</v>
      </c>
      <c r="B69" t="s">
        <v>133</v>
      </c>
      <c r="C69" t="s">
        <v>68</v>
      </c>
      <c r="D69">
        <v>19</v>
      </c>
      <c r="E69">
        <v>250000000</v>
      </c>
      <c r="F69" t="s">
        <v>72</v>
      </c>
      <c r="G69" t="s">
        <v>66</v>
      </c>
    </row>
    <row r="70" spans="1:7" hidden="1" x14ac:dyDescent="0.25">
      <c r="A70" t="s">
        <v>39</v>
      </c>
      <c r="B70" t="s">
        <v>133</v>
      </c>
      <c r="C70" t="s">
        <v>69</v>
      </c>
      <c r="D70">
        <v>20</v>
      </c>
      <c r="E70">
        <v>150000000</v>
      </c>
      <c r="F70" t="s">
        <v>72</v>
      </c>
      <c r="G70" t="s">
        <v>67</v>
      </c>
    </row>
    <row r="71" spans="1:7" x14ac:dyDescent="0.25">
      <c r="A71" t="s">
        <v>39</v>
      </c>
      <c r="B71" t="s">
        <v>133</v>
      </c>
      <c r="C71" t="s">
        <v>86</v>
      </c>
      <c r="D71">
        <v>21</v>
      </c>
      <c r="E71" t="s">
        <v>140</v>
      </c>
      <c r="F71" t="s">
        <v>88</v>
      </c>
      <c r="G71" t="s">
        <v>90</v>
      </c>
    </row>
    <row r="72" spans="1:7" x14ac:dyDescent="0.25">
      <c r="A72" t="s">
        <v>39</v>
      </c>
      <c r="B72" t="s">
        <v>133</v>
      </c>
      <c r="C72" t="s">
        <v>87</v>
      </c>
      <c r="D72">
        <v>22</v>
      </c>
      <c r="E72" t="s">
        <v>141</v>
      </c>
      <c r="F72" t="s">
        <v>89</v>
      </c>
      <c r="G72" t="s">
        <v>91</v>
      </c>
    </row>
    <row r="73" spans="1:7" hidden="1" x14ac:dyDescent="0.25">
      <c r="A73" t="s">
        <v>39</v>
      </c>
      <c r="B73" t="s">
        <v>133</v>
      </c>
      <c r="C73" t="s">
        <v>92</v>
      </c>
      <c r="D73">
        <v>23</v>
      </c>
      <c r="E73">
        <v>1</v>
      </c>
      <c r="F73" t="s">
        <v>88</v>
      </c>
      <c r="G73" t="s">
        <v>93</v>
      </c>
    </row>
    <row r="74" spans="1:7" hidden="1" x14ac:dyDescent="0.25">
      <c r="A74" t="s">
        <v>39</v>
      </c>
      <c r="B74" t="s">
        <v>134</v>
      </c>
      <c r="C74" t="s">
        <v>59</v>
      </c>
      <c r="D74">
        <v>0</v>
      </c>
      <c r="E74" t="s">
        <v>121</v>
      </c>
      <c r="F74" t="s">
        <v>43</v>
      </c>
      <c r="G74" t="s">
        <v>73</v>
      </c>
    </row>
    <row r="75" spans="1:7" hidden="1" x14ac:dyDescent="0.25">
      <c r="A75" t="s">
        <v>39</v>
      </c>
      <c r="B75" t="s">
        <v>134</v>
      </c>
      <c r="C75" t="s">
        <v>63</v>
      </c>
      <c r="D75">
        <v>1</v>
      </c>
      <c r="E75" t="s">
        <v>122</v>
      </c>
      <c r="F75" t="s">
        <v>43</v>
      </c>
      <c r="G75" t="s">
        <v>74</v>
      </c>
    </row>
    <row r="76" spans="1:7" hidden="1" x14ac:dyDescent="0.25">
      <c r="A76" t="s">
        <v>39</v>
      </c>
      <c r="B76" t="s">
        <v>134</v>
      </c>
      <c r="C76" t="s">
        <v>54</v>
      </c>
      <c r="D76">
        <v>2</v>
      </c>
      <c r="E76" t="s">
        <v>123</v>
      </c>
      <c r="F76" t="s">
        <v>43</v>
      </c>
      <c r="G76" t="s">
        <v>75</v>
      </c>
    </row>
    <row r="77" spans="1:7" hidden="1" x14ac:dyDescent="0.25">
      <c r="A77" t="s">
        <v>39</v>
      </c>
      <c r="B77" t="s">
        <v>134</v>
      </c>
      <c r="C77" t="s">
        <v>55</v>
      </c>
      <c r="D77">
        <v>3</v>
      </c>
      <c r="E77" t="s">
        <v>123</v>
      </c>
      <c r="F77" t="s">
        <v>43</v>
      </c>
      <c r="G77" t="s">
        <v>76</v>
      </c>
    </row>
    <row r="78" spans="1:7" hidden="1" x14ac:dyDescent="0.25">
      <c r="A78" t="s">
        <v>39</v>
      </c>
      <c r="B78" t="s">
        <v>134</v>
      </c>
      <c r="C78" t="s">
        <v>56</v>
      </c>
      <c r="D78">
        <v>4</v>
      </c>
      <c r="E78" t="s">
        <v>121</v>
      </c>
      <c r="F78" t="s">
        <v>43</v>
      </c>
      <c r="G78" t="s">
        <v>77</v>
      </c>
    </row>
    <row r="79" spans="1:7" hidden="1" x14ac:dyDescent="0.25">
      <c r="A79" t="s">
        <v>39</v>
      </c>
      <c r="B79" t="s">
        <v>134</v>
      </c>
      <c r="C79" t="s">
        <v>64</v>
      </c>
      <c r="D79">
        <v>5</v>
      </c>
      <c r="E79" t="s">
        <v>126</v>
      </c>
      <c r="F79" t="s">
        <v>41</v>
      </c>
      <c r="G79" t="s">
        <v>85</v>
      </c>
    </row>
    <row r="80" spans="1:7" hidden="1" x14ac:dyDescent="0.25">
      <c r="A80" t="s">
        <v>39</v>
      </c>
      <c r="B80" t="s">
        <v>134</v>
      </c>
      <c r="C80" t="s">
        <v>61</v>
      </c>
      <c r="D80">
        <v>6</v>
      </c>
      <c r="E80" t="s">
        <v>127</v>
      </c>
      <c r="F80" t="s">
        <v>42</v>
      </c>
      <c r="G80" t="s">
        <v>78</v>
      </c>
    </row>
    <row r="81" spans="1:7" hidden="1" x14ac:dyDescent="0.25">
      <c r="A81" t="s">
        <v>39</v>
      </c>
      <c r="B81" t="s">
        <v>134</v>
      </c>
      <c r="C81" t="s">
        <v>62</v>
      </c>
      <c r="D81">
        <v>7</v>
      </c>
      <c r="E81">
        <v>13</v>
      </c>
      <c r="F81" t="s">
        <v>71</v>
      </c>
      <c r="G81" t="s">
        <v>79</v>
      </c>
    </row>
    <row r="82" spans="1:7" hidden="1" x14ac:dyDescent="0.25">
      <c r="A82" t="s">
        <v>39</v>
      </c>
      <c r="B82" t="s">
        <v>134</v>
      </c>
      <c r="C82" t="s">
        <v>65</v>
      </c>
      <c r="D82">
        <v>8</v>
      </c>
      <c r="E82" t="s">
        <v>128</v>
      </c>
      <c r="F82" t="s">
        <v>42</v>
      </c>
      <c r="G82" t="s">
        <v>84</v>
      </c>
    </row>
    <row r="83" spans="1:7" hidden="1" x14ac:dyDescent="0.25">
      <c r="A83" t="s">
        <v>39</v>
      </c>
      <c r="B83" t="s">
        <v>134</v>
      </c>
      <c r="C83" t="s">
        <v>58</v>
      </c>
      <c r="D83">
        <v>9</v>
      </c>
      <c r="E83" t="s">
        <v>119</v>
      </c>
      <c r="F83" t="s">
        <v>43</v>
      </c>
      <c r="G83" t="s">
        <v>117</v>
      </c>
    </row>
    <row r="84" spans="1:7" hidden="1" x14ac:dyDescent="0.25">
      <c r="A84" t="s">
        <v>39</v>
      </c>
      <c r="B84" t="s">
        <v>134</v>
      </c>
      <c r="C84" t="s">
        <v>60</v>
      </c>
      <c r="D84">
        <v>10</v>
      </c>
      <c r="E84" t="s">
        <v>119</v>
      </c>
      <c r="F84" t="s">
        <v>43</v>
      </c>
      <c r="G84" t="s">
        <v>118</v>
      </c>
    </row>
    <row r="85" spans="1:7" hidden="1" x14ac:dyDescent="0.25">
      <c r="A85" t="s">
        <v>39</v>
      </c>
      <c r="B85" t="s">
        <v>134</v>
      </c>
      <c r="C85" t="s">
        <v>57</v>
      </c>
      <c r="D85">
        <v>11</v>
      </c>
      <c r="E85" t="s">
        <v>119</v>
      </c>
      <c r="F85" t="s">
        <v>43</v>
      </c>
      <c r="G85" t="s">
        <v>80</v>
      </c>
    </row>
    <row r="86" spans="1:7" hidden="1" x14ac:dyDescent="0.25">
      <c r="A86" t="s">
        <v>39</v>
      </c>
      <c r="B86" t="s">
        <v>134</v>
      </c>
      <c r="C86" t="s">
        <v>40</v>
      </c>
      <c r="D86">
        <v>12</v>
      </c>
      <c r="E86" t="s">
        <v>124</v>
      </c>
      <c r="F86" t="s">
        <v>43</v>
      </c>
      <c r="G86" t="s">
        <v>81</v>
      </c>
    </row>
    <row r="87" spans="1:7" hidden="1" x14ac:dyDescent="0.25">
      <c r="A87" t="s">
        <v>39</v>
      </c>
      <c r="B87" t="s">
        <v>134</v>
      </c>
      <c r="C87" t="s">
        <v>70</v>
      </c>
      <c r="D87">
        <v>13</v>
      </c>
      <c r="E87" t="s">
        <v>125</v>
      </c>
      <c r="F87" t="s">
        <v>44</v>
      </c>
      <c r="G87" t="s">
        <v>82</v>
      </c>
    </row>
    <row r="88" spans="1:7" hidden="1" x14ac:dyDescent="0.25">
      <c r="A88" t="s">
        <v>39</v>
      </c>
      <c r="B88" t="s">
        <v>134</v>
      </c>
      <c r="C88" t="s">
        <v>45</v>
      </c>
      <c r="D88">
        <v>14</v>
      </c>
      <c r="E88">
        <v>13</v>
      </c>
      <c r="F88" t="s">
        <v>71</v>
      </c>
      <c r="G88" t="s">
        <v>46</v>
      </c>
    </row>
    <row r="89" spans="1:7" hidden="1" x14ac:dyDescent="0.25">
      <c r="A89" t="s">
        <v>39</v>
      </c>
      <c r="B89" t="s">
        <v>134</v>
      </c>
      <c r="C89" t="s">
        <v>53</v>
      </c>
      <c r="D89">
        <v>15</v>
      </c>
      <c r="E89">
        <v>6</v>
      </c>
      <c r="F89" t="s">
        <v>71</v>
      </c>
      <c r="G89" t="s">
        <v>83</v>
      </c>
    </row>
    <row r="90" spans="1:7" hidden="1" x14ac:dyDescent="0.25">
      <c r="A90" t="s">
        <v>39</v>
      </c>
      <c r="B90" t="s">
        <v>134</v>
      </c>
      <c r="C90" t="s">
        <v>47</v>
      </c>
      <c r="D90">
        <v>16</v>
      </c>
      <c r="E90" t="s">
        <v>152</v>
      </c>
      <c r="F90" t="s">
        <v>71</v>
      </c>
      <c r="G90" t="s">
        <v>51</v>
      </c>
    </row>
    <row r="91" spans="1:7" hidden="1" x14ac:dyDescent="0.25">
      <c r="A91" t="s">
        <v>39</v>
      </c>
      <c r="B91" t="s">
        <v>134</v>
      </c>
      <c r="C91" t="s">
        <v>48</v>
      </c>
      <c r="D91">
        <v>17</v>
      </c>
      <c r="E91" t="s">
        <v>152</v>
      </c>
      <c r="F91" t="s">
        <v>71</v>
      </c>
      <c r="G91" t="s">
        <v>50</v>
      </c>
    </row>
    <row r="92" spans="1:7" hidden="1" x14ac:dyDescent="0.25">
      <c r="A92" t="s">
        <v>39</v>
      </c>
      <c r="B92" t="s">
        <v>134</v>
      </c>
      <c r="C92" t="s">
        <v>49</v>
      </c>
      <c r="D92">
        <v>18</v>
      </c>
      <c r="E92" t="s">
        <v>152</v>
      </c>
      <c r="F92" t="s">
        <v>71</v>
      </c>
      <c r="G92" t="s">
        <v>52</v>
      </c>
    </row>
    <row r="93" spans="1:7" hidden="1" x14ac:dyDescent="0.25">
      <c r="A93" t="s">
        <v>39</v>
      </c>
      <c r="B93" t="s">
        <v>134</v>
      </c>
      <c r="C93" t="s">
        <v>68</v>
      </c>
      <c r="D93">
        <v>19</v>
      </c>
      <c r="E93">
        <v>250000000</v>
      </c>
      <c r="F93" t="s">
        <v>72</v>
      </c>
      <c r="G93" t="s">
        <v>66</v>
      </c>
    </row>
    <row r="94" spans="1:7" hidden="1" x14ac:dyDescent="0.25">
      <c r="A94" t="s">
        <v>39</v>
      </c>
      <c r="B94" t="s">
        <v>134</v>
      </c>
      <c r="C94" t="s">
        <v>69</v>
      </c>
      <c r="D94">
        <v>20</v>
      </c>
      <c r="E94">
        <v>150000000</v>
      </c>
      <c r="F94" t="s">
        <v>72</v>
      </c>
      <c r="G94" t="s">
        <v>67</v>
      </c>
    </row>
    <row r="95" spans="1:7" x14ac:dyDescent="0.25">
      <c r="A95" t="s">
        <v>39</v>
      </c>
      <c r="B95" t="s">
        <v>134</v>
      </c>
      <c r="C95" t="s">
        <v>86</v>
      </c>
      <c r="D95">
        <v>21</v>
      </c>
      <c r="E95" t="s">
        <v>140</v>
      </c>
      <c r="F95" t="s">
        <v>88</v>
      </c>
      <c r="G95" t="s">
        <v>90</v>
      </c>
    </row>
    <row r="96" spans="1:7" x14ac:dyDescent="0.25">
      <c r="A96" t="s">
        <v>39</v>
      </c>
      <c r="B96" t="s">
        <v>134</v>
      </c>
      <c r="C96" t="s">
        <v>87</v>
      </c>
      <c r="D96">
        <v>22</v>
      </c>
      <c r="E96" t="s">
        <v>141</v>
      </c>
      <c r="F96" t="s">
        <v>89</v>
      </c>
      <c r="G96" t="s">
        <v>91</v>
      </c>
    </row>
    <row r="97" spans="1:7" hidden="1" x14ac:dyDescent="0.25">
      <c r="A97" t="s">
        <v>39</v>
      </c>
      <c r="B97" t="s">
        <v>134</v>
      </c>
      <c r="C97" t="s">
        <v>92</v>
      </c>
      <c r="D97">
        <v>23</v>
      </c>
      <c r="E97">
        <v>1</v>
      </c>
      <c r="F97" t="s">
        <v>88</v>
      </c>
      <c r="G97" t="s">
        <v>93</v>
      </c>
    </row>
    <row r="98" spans="1:7" hidden="1" x14ac:dyDescent="0.25">
      <c r="A98" t="s">
        <v>39</v>
      </c>
      <c r="B98" t="s">
        <v>137</v>
      </c>
      <c r="C98" t="s">
        <v>59</v>
      </c>
      <c r="D98">
        <v>0</v>
      </c>
      <c r="E98" t="s">
        <v>121</v>
      </c>
      <c r="F98" t="s">
        <v>43</v>
      </c>
      <c r="G98" t="s">
        <v>73</v>
      </c>
    </row>
    <row r="99" spans="1:7" hidden="1" x14ac:dyDescent="0.25">
      <c r="A99" t="s">
        <v>39</v>
      </c>
      <c r="B99" t="s">
        <v>137</v>
      </c>
      <c r="C99" t="s">
        <v>63</v>
      </c>
      <c r="D99">
        <v>1</v>
      </c>
      <c r="E99" t="s">
        <v>122</v>
      </c>
      <c r="F99" t="s">
        <v>43</v>
      </c>
      <c r="G99" t="s">
        <v>74</v>
      </c>
    </row>
    <row r="100" spans="1:7" hidden="1" x14ac:dyDescent="0.25">
      <c r="A100" t="s">
        <v>39</v>
      </c>
      <c r="B100" t="s">
        <v>137</v>
      </c>
      <c r="C100" t="s">
        <v>54</v>
      </c>
      <c r="D100">
        <v>2</v>
      </c>
      <c r="E100" t="s">
        <v>123</v>
      </c>
      <c r="F100" t="s">
        <v>43</v>
      </c>
      <c r="G100" t="s">
        <v>75</v>
      </c>
    </row>
    <row r="101" spans="1:7" hidden="1" x14ac:dyDescent="0.25">
      <c r="A101" t="s">
        <v>39</v>
      </c>
      <c r="B101" t="s">
        <v>137</v>
      </c>
      <c r="C101" t="s">
        <v>55</v>
      </c>
      <c r="D101">
        <v>3</v>
      </c>
      <c r="E101" t="s">
        <v>123</v>
      </c>
      <c r="F101" t="s">
        <v>43</v>
      </c>
      <c r="G101" t="s">
        <v>76</v>
      </c>
    </row>
    <row r="102" spans="1:7" hidden="1" x14ac:dyDescent="0.25">
      <c r="A102" t="s">
        <v>39</v>
      </c>
      <c r="B102" t="s">
        <v>137</v>
      </c>
      <c r="C102" t="s">
        <v>56</v>
      </c>
      <c r="D102">
        <v>4</v>
      </c>
      <c r="E102" t="s">
        <v>121</v>
      </c>
      <c r="F102" t="s">
        <v>43</v>
      </c>
      <c r="G102" t="s">
        <v>77</v>
      </c>
    </row>
    <row r="103" spans="1:7" hidden="1" x14ac:dyDescent="0.25">
      <c r="A103" t="s">
        <v>39</v>
      </c>
      <c r="B103" t="s">
        <v>137</v>
      </c>
      <c r="C103" t="s">
        <v>64</v>
      </c>
      <c r="D103">
        <v>5</v>
      </c>
      <c r="E103" t="s">
        <v>126</v>
      </c>
      <c r="F103" t="s">
        <v>41</v>
      </c>
      <c r="G103" t="s">
        <v>85</v>
      </c>
    </row>
    <row r="104" spans="1:7" hidden="1" x14ac:dyDescent="0.25">
      <c r="A104" t="s">
        <v>39</v>
      </c>
      <c r="B104" t="s">
        <v>137</v>
      </c>
      <c r="C104" t="s">
        <v>61</v>
      </c>
      <c r="D104">
        <v>6</v>
      </c>
      <c r="E104" t="s">
        <v>127</v>
      </c>
      <c r="F104" t="s">
        <v>42</v>
      </c>
      <c r="G104" t="s">
        <v>78</v>
      </c>
    </row>
    <row r="105" spans="1:7" hidden="1" x14ac:dyDescent="0.25">
      <c r="A105" t="s">
        <v>39</v>
      </c>
      <c r="B105" t="s">
        <v>137</v>
      </c>
      <c r="C105" t="s">
        <v>62</v>
      </c>
      <c r="D105">
        <v>7</v>
      </c>
      <c r="E105">
        <v>6</v>
      </c>
      <c r="F105" t="s">
        <v>71</v>
      </c>
      <c r="G105" t="s">
        <v>79</v>
      </c>
    </row>
    <row r="106" spans="1:7" hidden="1" x14ac:dyDescent="0.25">
      <c r="A106" t="s">
        <v>39</v>
      </c>
      <c r="B106" t="s">
        <v>137</v>
      </c>
      <c r="C106" t="s">
        <v>65</v>
      </c>
      <c r="D106">
        <v>8</v>
      </c>
      <c r="E106" t="s">
        <v>128</v>
      </c>
      <c r="F106" t="s">
        <v>42</v>
      </c>
      <c r="G106" t="s">
        <v>84</v>
      </c>
    </row>
    <row r="107" spans="1:7" hidden="1" x14ac:dyDescent="0.25">
      <c r="A107" t="s">
        <v>39</v>
      </c>
      <c r="B107" t="s">
        <v>137</v>
      </c>
      <c r="C107" t="s">
        <v>58</v>
      </c>
      <c r="D107">
        <v>9</v>
      </c>
      <c r="E107" t="s">
        <v>119</v>
      </c>
      <c r="F107" t="s">
        <v>43</v>
      </c>
      <c r="G107" t="s">
        <v>117</v>
      </c>
    </row>
    <row r="108" spans="1:7" hidden="1" x14ac:dyDescent="0.25">
      <c r="A108" t="s">
        <v>39</v>
      </c>
      <c r="B108" t="s">
        <v>137</v>
      </c>
      <c r="C108" t="s">
        <v>60</v>
      </c>
      <c r="D108">
        <v>10</v>
      </c>
      <c r="E108" t="s">
        <v>119</v>
      </c>
      <c r="F108" t="s">
        <v>43</v>
      </c>
      <c r="G108" t="s">
        <v>118</v>
      </c>
    </row>
    <row r="109" spans="1:7" hidden="1" x14ac:dyDescent="0.25">
      <c r="A109" t="s">
        <v>39</v>
      </c>
      <c r="B109" t="s">
        <v>137</v>
      </c>
      <c r="C109" t="s">
        <v>57</v>
      </c>
      <c r="D109">
        <v>11</v>
      </c>
      <c r="E109" t="s">
        <v>119</v>
      </c>
      <c r="F109" t="s">
        <v>43</v>
      </c>
      <c r="G109" t="s">
        <v>80</v>
      </c>
    </row>
    <row r="110" spans="1:7" hidden="1" x14ac:dyDescent="0.25">
      <c r="A110" t="s">
        <v>39</v>
      </c>
      <c r="B110" t="s">
        <v>137</v>
      </c>
      <c r="C110" t="s">
        <v>40</v>
      </c>
      <c r="D110">
        <v>12</v>
      </c>
      <c r="E110" t="s">
        <v>124</v>
      </c>
      <c r="F110" t="s">
        <v>43</v>
      </c>
      <c r="G110" t="s">
        <v>81</v>
      </c>
    </row>
    <row r="111" spans="1:7" hidden="1" x14ac:dyDescent="0.25">
      <c r="A111" t="s">
        <v>39</v>
      </c>
      <c r="B111" t="s">
        <v>137</v>
      </c>
      <c r="C111" t="s">
        <v>70</v>
      </c>
      <c r="D111">
        <v>13</v>
      </c>
      <c r="E111" t="s">
        <v>125</v>
      </c>
      <c r="F111" t="s">
        <v>44</v>
      </c>
      <c r="G111" t="s">
        <v>82</v>
      </c>
    </row>
    <row r="112" spans="1:7" hidden="1" x14ac:dyDescent="0.25">
      <c r="A112" t="s">
        <v>39</v>
      </c>
      <c r="B112" t="s">
        <v>137</v>
      </c>
      <c r="C112" t="s">
        <v>45</v>
      </c>
      <c r="D112">
        <v>14</v>
      </c>
      <c r="E112">
        <v>13</v>
      </c>
      <c r="F112" t="s">
        <v>71</v>
      </c>
      <c r="G112" t="s">
        <v>46</v>
      </c>
    </row>
    <row r="113" spans="1:7" hidden="1" x14ac:dyDescent="0.25">
      <c r="A113" t="s">
        <v>39</v>
      </c>
      <c r="B113" t="s">
        <v>137</v>
      </c>
      <c r="C113" t="s">
        <v>53</v>
      </c>
      <c r="D113">
        <v>15</v>
      </c>
      <c r="E113">
        <v>1</v>
      </c>
      <c r="F113" t="s">
        <v>71</v>
      </c>
      <c r="G113" t="s">
        <v>83</v>
      </c>
    </row>
    <row r="114" spans="1:7" hidden="1" x14ac:dyDescent="0.25">
      <c r="A114" t="s">
        <v>39</v>
      </c>
      <c r="B114" t="s">
        <v>137</v>
      </c>
      <c r="C114" t="s">
        <v>47</v>
      </c>
      <c r="D114">
        <v>16</v>
      </c>
      <c r="E114" t="s">
        <v>135</v>
      </c>
      <c r="F114" t="s">
        <v>71</v>
      </c>
      <c r="G114" t="s">
        <v>51</v>
      </c>
    </row>
    <row r="115" spans="1:7" hidden="1" x14ac:dyDescent="0.25">
      <c r="A115" t="s">
        <v>39</v>
      </c>
      <c r="B115" t="s">
        <v>137</v>
      </c>
      <c r="C115" t="s">
        <v>48</v>
      </c>
      <c r="D115">
        <v>17</v>
      </c>
      <c r="E115" t="s">
        <v>135</v>
      </c>
      <c r="F115" t="s">
        <v>71</v>
      </c>
      <c r="G115" t="s">
        <v>50</v>
      </c>
    </row>
    <row r="116" spans="1:7" hidden="1" x14ac:dyDescent="0.25">
      <c r="A116" t="s">
        <v>39</v>
      </c>
      <c r="B116" t="s">
        <v>137</v>
      </c>
      <c r="C116" t="s">
        <v>49</v>
      </c>
      <c r="D116">
        <v>18</v>
      </c>
      <c r="E116" t="s">
        <v>135</v>
      </c>
      <c r="F116" t="s">
        <v>71</v>
      </c>
      <c r="G116" t="s">
        <v>52</v>
      </c>
    </row>
    <row r="117" spans="1:7" hidden="1" x14ac:dyDescent="0.25">
      <c r="A117" t="s">
        <v>39</v>
      </c>
      <c r="B117" t="s">
        <v>137</v>
      </c>
      <c r="C117" t="s">
        <v>68</v>
      </c>
      <c r="D117">
        <v>19</v>
      </c>
      <c r="E117">
        <v>250000000</v>
      </c>
      <c r="F117" t="s">
        <v>72</v>
      </c>
      <c r="G117" t="s">
        <v>66</v>
      </c>
    </row>
    <row r="118" spans="1:7" hidden="1" x14ac:dyDescent="0.25">
      <c r="A118" t="s">
        <v>39</v>
      </c>
      <c r="B118" t="s">
        <v>137</v>
      </c>
      <c r="C118" t="s">
        <v>69</v>
      </c>
      <c r="D118">
        <v>20</v>
      </c>
      <c r="E118">
        <v>150000000</v>
      </c>
      <c r="F118" t="s">
        <v>72</v>
      </c>
      <c r="G118" t="s">
        <v>67</v>
      </c>
    </row>
    <row r="119" spans="1:7" x14ac:dyDescent="0.25">
      <c r="A119" t="s">
        <v>39</v>
      </c>
      <c r="B119" t="s">
        <v>137</v>
      </c>
      <c r="C119" t="s">
        <v>86</v>
      </c>
      <c r="D119">
        <v>21</v>
      </c>
      <c r="E119" t="s">
        <v>140</v>
      </c>
      <c r="F119" t="s">
        <v>88</v>
      </c>
      <c r="G119" t="s">
        <v>90</v>
      </c>
    </row>
    <row r="120" spans="1:7" x14ac:dyDescent="0.25">
      <c r="A120" t="s">
        <v>39</v>
      </c>
      <c r="B120" t="s">
        <v>137</v>
      </c>
      <c r="C120" t="s">
        <v>87</v>
      </c>
      <c r="D120">
        <v>22</v>
      </c>
      <c r="E120" t="s">
        <v>141</v>
      </c>
      <c r="F120" t="s">
        <v>89</v>
      </c>
      <c r="G120" t="s">
        <v>91</v>
      </c>
    </row>
    <row r="121" spans="1:7" hidden="1" x14ac:dyDescent="0.25">
      <c r="A121" t="s">
        <v>39</v>
      </c>
      <c r="B121" t="s">
        <v>137</v>
      </c>
      <c r="C121" t="s">
        <v>92</v>
      </c>
      <c r="D121">
        <v>23</v>
      </c>
      <c r="E121">
        <v>1</v>
      </c>
      <c r="F121" t="s">
        <v>88</v>
      </c>
      <c r="G121" t="s">
        <v>93</v>
      </c>
    </row>
    <row r="122" spans="1:7" hidden="1" x14ac:dyDescent="0.25">
      <c r="A122" t="s">
        <v>39</v>
      </c>
      <c r="B122" t="s">
        <v>139</v>
      </c>
      <c r="C122" t="s">
        <v>59</v>
      </c>
      <c r="D122">
        <v>0</v>
      </c>
      <c r="E122" t="s">
        <v>121</v>
      </c>
      <c r="F122" t="s">
        <v>43</v>
      </c>
      <c r="G122" t="s">
        <v>73</v>
      </c>
    </row>
    <row r="123" spans="1:7" hidden="1" x14ac:dyDescent="0.25">
      <c r="A123" t="s">
        <v>39</v>
      </c>
      <c r="B123" t="s">
        <v>139</v>
      </c>
      <c r="C123" t="s">
        <v>63</v>
      </c>
      <c r="D123">
        <v>1</v>
      </c>
      <c r="E123" t="s">
        <v>122</v>
      </c>
      <c r="F123" t="s">
        <v>43</v>
      </c>
      <c r="G123" t="s">
        <v>74</v>
      </c>
    </row>
    <row r="124" spans="1:7" hidden="1" x14ac:dyDescent="0.25">
      <c r="A124" t="s">
        <v>39</v>
      </c>
      <c r="B124" t="s">
        <v>139</v>
      </c>
      <c r="C124" t="s">
        <v>54</v>
      </c>
      <c r="D124">
        <v>2</v>
      </c>
      <c r="E124" t="s">
        <v>123</v>
      </c>
      <c r="F124" t="s">
        <v>43</v>
      </c>
      <c r="G124" t="s">
        <v>75</v>
      </c>
    </row>
    <row r="125" spans="1:7" hidden="1" x14ac:dyDescent="0.25">
      <c r="A125" t="s">
        <v>39</v>
      </c>
      <c r="B125" t="s">
        <v>139</v>
      </c>
      <c r="C125" t="s">
        <v>55</v>
      </c>
      <c r="D125">
        <v>3</v>
      </c>
      <c r="E125" t="s">
        <v>123</v>
      </c>
      <c r="F125" t="s">
        <v>43</v>
      </c>
      <c r="G125" t="s">
        <v>76</v>
      </c>
    </row>
    <row r="126" spans="1:7" hidden="1" x14ac:dyDescent="0.25">
      <c r="A126" t="s">
        <v>39</v>
      </c>
      <c r="B126" t="s">
        <v>139</v>
      </c>
      <c r="C126" t="s">
        <v>56</v>
      </c>
      <c r="D126">
        <v>4</v>
      </c>
      <c r="E126" t="s">
        <v>121</v>
      </c>
      <c r="F126" t="s">
        <v>43</v>
      </c>
      <c r="G126" t="s">
        <v>77</v>
      </c>
    </row>
    <row r="127" spans="1:7" hidden="1" x14ac:dyDescent="0.25">
      <c r="A127" t="s">
        <v>39</v>
      </c>
      <c r="B127" t="s">
        <v>139</v>
      </c>
      <c r="C127" t="s">
        <v>64</v>
      </c>
      <c r="D127">
        <v>5</v>
      </c>
      <c r="E127" t="s">
        <v>126</v>
      </c>
      <c r="F127" t="s">
        <v>41</v>
      </c>
      <c r="G127" t="s">
        <v>85</v>
      </c>
    </row>
    <row r="128" spans="1:7" hidden="1" x14ac:dyDescent="0.25">
      <c r="A128" t="s">
        <v>39</v>
      </c>
      <c r="B128" t="s">
        <v>139</v>
      </c>
      <c r="C128" t="s">
        <v>61</v>
      </c>
      <c r="D128">
        <v>6</v>
      </c>
      <c r="E128" t="s">
        <v>127</v>
      </c>
      <c r="F128" t="s">
        <v>42</v>
      </c>
      <c r="G128" t="s">
        <v>78</v>
      </c>
    </row>
    <row r="129" spans="1:7" hidden="1" x14ac:dyDescent="0.25">
      <c r="A129" t="s">
        <v>39</v>
      </c>
      <c r="B129" t="s">
        <v>139</v>
      </c>
      <c r="C129" t="s">
        <v>62</v>
      </c>
      <c r="D129">
        <v>7</v>
      </c>
      <c r="E129">
        <v>6</v>
      </c>
      <c r="F129" t="s">
        <v>71</v>
      </c>
      <c r="G129" t="s">
        <v>79</v>
      </c>
    </row>
    <row r="130" spans="1:7" hidden="1" x14ac:dyDescent="0.25">
      <c r="A130" t="s">
        <v>39</v>
      </c>
      <c r="B130" t="s">
        <v>139</v>
      </c>
      <c r="C130" t="s">
        <v>65</v>
      </c>
      <c r="D130">
        <v>8</v>
      </c>
      <c r="E130" t="s">
        <v>128</v>
      </c>
      <c r="F130" t="s">
        <v>42</v>
      </c>
      <c r="G130" t="s">
        <v>84</v>
      </c>
    </row>
    <row r="131" spans="1:7" hidden="1" x14ac:dyDescent="0.25">
      <c r="A131" t="s">
        <v>39</v>
      </c>
      <c r="B131" t="s">
        <v>139</v>
      </c>
      <c r="C131" t="s">
        <v>58</v>
      </c>
      <c r="D131">
        <v>9</v>
      </c>
      <c r="E131" t="s">
        <v>119</v>
      </c>
      <c r="F131" t="s">
        <v>43</v>
      </c>
      <c r="G131" t="s">
        <v>117</v>
      </c>
    </row>
    <row r="132" spans="1:7" hidden="1" x14ac:dyDescent="0.25">
      <c r="A132" t="s">
        <v>39</v>
      </c>
      <c r="B132" t="s">
        <v>139</v>
      </c>
      <c r="C132" t="s">
        <v>60</v>
      </c>
      <c r="D132">
        <v>10</v>
      </c>
      <c r="E132" t="s">
        <v>119</v>
      </c>
      <c r="F132" t="s">
        <v>43</v>
      </c>
      <c r="G132" t="s">
        <v>118</v>
      </c>
    </row>
    <row r="133" spans="1:7" hidden="1" x14ac:dyDescent="0.25">
      <c r="A133" t="s">
        <v>39</v>
      </c>
      <c r="B133" t="s">
        <v>139</v>
      </c>
      <c r="C133" t="s">
        <v>57</v>
      </c>
      <c r="D133">
        <v>11</v>
      </c>
      <c r="E133" t="s">
        <v>119</v>
      </c>
      <c r="F133" t="s">
        <v>43</v>
      </c>
      <c r="G133" t="s">
        <v>80</v>
      </c>
    </row>
    <row r="134" spans="1:7" hidden="1" x14ac:dyDescent="0.25">
      <c r="A134" t="s">
        <v>39</v>
      </c>
      <c r="B134" t="s">
        <v>139</v>
      </c>
      <c r="C134" t="s">
        <v>40</v>
      </c>
      <c r="D134">
        <v>12</v>
      </c>
      <c r="E134" t="s">
        <v>124</v>
      </c>
      <c r="F134" t="s">
        <v>43</v>
      </c>
      <c r="G134" t="s">
        <v>81</v>
      </c>
    </row>
    <row r="135" spans="1:7" hidden="1" x14ac:dyDescent="0.25">
      <c r="A135" t="s">
        <v>39</v>
      </c>
      <c r="B135" t="s">
        <v>139</v>
      </c>
      <c r="C135" t="s">
        <v>70</v>
      </c>
      <c r="D135">
        <v>13</v>
      </c>
      <c r="E135" t="s">
        <v>125</v>
      </c>
      <c r="F135" t="s">
        <v>44</v>
      </c>
      <c r="G135" t="s">
        <v>82</v>
      </c>
    </row>
    <row r="136" spans="1:7" hidden="1" x14ac:dyDescent="0.25">
      <c r="A136" t="s">
        <v>39</v>
      </c>
      <c r="B136" t="s">
        <v>139</v>
      </c>
      <c r="C136" t="s">
        <v>45</v>
      </c>
      <c r="D136">
        <v>14</v>
      </c>
      <c r="E136">
        <v>6</v>
      </c>
      <c r="F136" t="s">
        <v>71</v>
      </c>
      <c r="G136" t="s">
        <v>46</v>
      </c>
    </row>
    <row r="137" spans="1:7" hidden="1" x14ac:dyDescent="0.25">
      <c r="A137" t="s">
        <v>39</v>
      </c>
      <c r="B137" t="s">
        <v>139</v>
      </c>
      <c r="C137" t="s">
        <v>53</v>
      </c>
      <c r="D137">
        <v>15</v>
      </c>
      <c r="E137">
        <v>6</v>
      </c>
      <c r="F137" t="s">
        <v>71</v>
      </c>
      <c r="G137" t="s">
        <v>83</v>
      </c>
    </row>
    <row r="138" spans="1:7" hidden="1" x14ac:dyDescent="0.25">
      <c r="A138" t="s">
        <v>39</v>
      </c>
      <c r="B138" t="s">
        <v>139</v>
      </c>
      <c r="C138" t="s">
        <v>47</v>
      </c>
      <c r="D138">
        <v>16</v>
      </c>
      <c r="E138" t="s">
        <v>135</v>
      </c>
      <c r="F138" t="s">
        <v>71</v>
      </c>
      <c r="G138" t="s">
        <v>51</v>
      </c>
    </row>
    <row r="139" spans="1:7" hidden="1" x14ac:dyDescent="0.25">
      <c r="A139" t="s">
        <v>39</v>
      </c>
      <c r="B139" t="s">
        <v>139</v>
      </c>
      <c r="C139" t="s">
        <v>48</v>
      </c>
      <c r="D139">
        <v>17</v>
      </c>
      <c r="E139" t="s">
        <v>135</v>
      </c>
      <c r="F139" t="s">
        <v>71</v>
      </c>
      <c r="G139" t="s">
        <v>50</v>
      </c>
    </row>
    <row r="140" spans="1:7" hidden="1" x14ac:dyDescent="0.25">
      <c r="A140" t="s">
        <v>39</v>
      </c>
      <c r="B140" t="s">
        <v>139</v>
      </c>
      <c r="C140" t="s">
        <v>49</v>
      </c>
      <c r="D140">
        <v>18</v>
      </c>
      <c r="E140" t="s">
        <v>135</v>
      </c>
      <c r="F140" t="s">
        <v>71</v>
      </c>
      <c r="G140" t="s">
        <v>52</v>
      </c>
    </row>
    <row r="141" spans="1:7" hidden="1" x14ac:dyDescent="0.25">
      <c r="A141" t="s">
        <v>39</v>
      </c>
      <c r="B141" t="s">
        <v>139</v>
      </c>
      <c r="C141" t="s">
        <v>68</v>
      </c>
      <c r="D141">
        <v>19</v>
      </c>
      <c r="E141">
        <v>250000000</v>
      </c>
      <c r="F141" t="s">
        <v>72</v>
      </c>
      <c r="G141" t="s">
        <v>66</v>
      </c>
    </row>
    <row r="142" spans="1:7" hidden="1" x14ac:dyDescent="0.25">
      <c r="A142" t="s">
        <v>39</v>
      </c>
      <c r="B142" t="s">
        <v>139</v>
      </c>
      <c r="C142" t="s">
        <v>69</v>
      </c>
      <c r="D142">
        <v>20</v>
      </c>
      <c r="E142">
        <v>150000000</v>
      </c>
      <c r="F142" t="s">
        <v>72</v>
      </c>
      <c r="G142" t="s">
        <v>67</v>
      </c>
    </row>
    <row r="143" spans="1:7" x14ac:dyDescent="0.25">
      <c r="A143" t="s">
        <v>39</v>
      </c>
      <c r="B143" t="s">
        <v>139</v>
      </c>
      <c r="C143" t="s">
        <v>86</v>
      </c>
      <c r="D143">
        <v>21</v>
      </c>
      <c r="E143" t="s">
        <v>140</v>
      </c>
      <c r="F143" t="s">
        <v>88</v>
      </c>
      <c r="G143" t="s">
        <v>90</v>
      </c>
    </row>
    <row r="144" spans="1:7" x14ac:dyDescent="0.25">
      <c r="A144" t="s">
        <v>39</v>
      </c>
      <c r="B144" t="s">
        <v>139</v>
      </c>
      <c r="C144" t="s">
        <v>87</v>
      </c>
      <c r="D144">
        <v>22</v>
      </c>
      <c r="E144" t="s">
        <v>141</v>
      </c>
      <c r="F144" t="s">
        <v>89</v>
      </c>
      <c r="G144" t="s">
        <v>91</v>
      </c>
    </row>
    <row r="145" spans="1:7" hidden="1" x14ac:dyDescent="0.25">
      <c r="A145" t="s">
        <v>39</v>
      </c>
      <c r="B145" t="s">
        <v>139</v>
      </c>
      <c r="C145" t="s">
        <v>92</v>
      </c>
      <c r="D145">
        <v>23</v>
      </c>
      <c r="E145">
        <v>1</v>
      </c>
      <c r="F145" t="s">
        <v>88</v>
      </c>
      <c r="G145" t="s">
        <v>93</v>
      </c>
    </row>
    <row r="146" spans="1:7" hidden="1" x14ac:dyDescent="0.25">
      <c r="A146" t="s">
        <v>39</v>
      </c>
      <c r="B146" t="s">
        <v>147</v>
      </c>
      <c r="C146" t="s">
        <v>59</v>
      </c>
      <c r="D146">
        <v>0</v>
      </c>
      <c r="E146" t="s">
        <v>121</v>
      </c>
      <c r="F146" t="s">
        <v>43</v>
      </c>
      <c r="G146" t="s">
        <v>73</v>
      </c>
    </row>
    <row r="147" spans="1:7" hidden="1" x14ac:dyDescent="0.25">
      <c r="A147" t="s">
        <v>39</v>
      </c>
      <c r="B147" t="s">
        <v>147</v>
      </c>
      <c r="C147" t="s">
        <v>63</v>
      </c>
      <c r="D147">
        <v>1</v>
      </c>
      <c r="E147" t="s">
        <v>122</v>
      </c>
      <c r="F147" t="s">
        <v>43</v>
      </c>
      <c r="G147" t="s">
        <v>74</v>
      </c>
    </row>
    <row r="148" spans="1:7" hidden="1" x14ac:dyDescent="0.25">
      <c r="A148" t="s">
        <v>39</v>
      </c>
      <c r="B148" t="s">
        <v>147</v>
      </c>
      <c r="C148" t="s">
        <v>54</v>
      </c>
      <c r="D148">
        <v>2</v>
      </c>
      <c r="E148" t="s">
        <v>123</v>
      </c>
      <c r="F148" t="s">
        <v>43</v>
      </c>
      <c r="G148" t="s">
        <v>75</v>
      </c>
    </row>
    <row r="149" spans="1:7" hidden="1" x14ac:dyDescent="0.25">
      <c r="A149" t="s">
        <v>39</v>
      </c>
      <c r="B149" t="s">
        <v>147</v>
      </c>
      <c r="C149" t="s">
        <v>55</v>
      </c>
      <c r="D149">
        <v>3</v>
      </c>
      <c r="E149" t="s">
        <v>123</v>
      </c>
      <c r="F149" t="s">
        <v>43</v>
      </c>
      <c r="G149" t="s">
        <v>76</v>
      </c>
    </row>
    <row r="150" spans="1:7" hidden="1" x14ac:dyDescent="0.25">
      <c r="A150" t="s">
        <v>39</v>
      </c>
      <c r="B150" t="s">
        <v>147</v>
      </c>
      <c r="C150" t="s">
        <v>56</v>
      </c>
      <c r="D150">
        <v>4</v>
      </c>
      <c r="E150" t="s">
        <v>121</v>
      </c>
      <c r="F150" t="s">
        <v>43</v>
      </c>
      <c r="G150" t="s">
        <v>77</v>
      </c>
    </row>
    <row r="151" spans="1:7" hidden="1" x14ac:dyDescent="0.25">
      <c r="A151" t="s">
        <v>39</v>
      </c>
      <c r="B151" t="s">
        <v>147</v>
      </c>
      <c r="C151" t="s">
        <v>64</v>
      </c>
      <c r="D151">
        <v>5</v>
      </c>
      <c r="E151" t="s">
        <v>126</v>
      </c>
      <c r="F151" t="s">
        <v>41</v>
      </c>
      <c r="G151" t="s">
        <v>85</v>
      </c>
    </row>
    <row r="152" spans="1:7" hidden="1" x14ac:dyDescent="0.25">
      <c r="A152" t="s">
        <v>39</v>
      </c>
      <c r="B152" t="s">
        <v>147</v>
      </c>
      <c r="C152" t="s">
        <v>61</v>
      </c>
      <c r="D152">
        <v>6</v>
      </c>
      <c r="E152" t="s">
        <v>127</v>
      </c>
      <c r="F152" t="s">
        <v>42</v>
      </c>
      <c r="G152" t="s">
        <v>78</v>
      </c>
    </row>
    <row r="153" spans="1:7" hidden="1" x14ac:dyDescent="0.25">
      <c r="A153" t="s">
        <v>39</v>
      </c>
      <c r="B153" t="s">
        <v>147</v>
      </c>
      <c r="C153" t="s">
        <v>62</v>
      </c>
      <c r="D153">
        <v>7</v>
      </c>
      <c r="E153">
        <v>3</v>
      </c>
      <c r="F153" t="s">
        <v>71</v>
      </c>
      <c r="G153" t="s">
        <v>79</v>
      </c>
    </row>
    <row r="154" spans="1:7" hidden="1" x14ac:dyDescent="0.25">
      <c r="A154" t="s">
        <v>39</v>
      </c>
      <c r="B154" t="s">
        <v>147</v>
      </c>
      <c r="C154" t="s">
        <v>65</v>
      </c>
      <c r="D154">
        <v>8</v>
      </c>
      <c r="E154" t="s">
        <v>128</v>
      </c>
      <c r="F154" t="s">
        <v>42</v>
      </c>
      <c r="G154" t="s">
        <v>84</v>
      </c>
    </row>
    <row r="155" spans="1:7" hidden="1" x14ac:dyDescent="0.25">
      <c r="A155" t="s">
        <v>39</v>
      </c>
      <c r="B155" t="s">
        <v>147</v>
      </c>
      <c r="C155" t="s">
        <v>58</v>
      </c>
      <c r="D155">
        <v>9</v>
      </c>
      <c r="E155" t="s">
        <v>119</v>
      </c>
      <c r="F155" t="s">
        <v>43</v>
      </c>
      <c r="G155" t="s">
        <v>117</v>
      </c>
    </row>
    <row r="156" spans="1:7" hidden="1" x14ac:dyDescent="0.25">
      <c r="A156" t="s">
        <v>39</v>
      </c>
      <c r="B156" t="s">
        <v>147</v>
      </c>
      <c r="C156" t="s">
        <v>60</v>
      </c>
      <c r="D156">
        <v>10</v>
      </c>
      <c r="E156" t="s">
        <v>119</v>
      </c>
      <c r="F156" t="s">
        <v>43</v>
      </c>
      <c r="G156" t="s">
        <v>118</v>
      </c>
    </row>
    <row r="157" spans="1:7" hidden="1" x14ac:dyDescent="0.25">
      <c r="A157" t="s">
        <v>39</v>
      </c>
      <c r="B157" t="s">
        <v>147</v>
      </c>
      <c r="C157" t="s">
        <v>57</v>
      </c>
      <c r="D157">
        <v>11</v>
      </c>
      <c r="E157" t="s">
        <v>119</v>
      </c>
      <c r="F157" t="s">
        <v>43</v>
      </c>
      <c r="G157" t="s">
        <v>80</v>
      </c>
    </row>
    <row r="158" spans="1:7" hidden="1" x14ac:dyDescent="0.25">
      <c r="A158" t="s">
        <v>39</v>
      </c>
      <c r="B158" t="s">
        <v>147</v>
      </c>
      <c r="C158" t="s">
        <v>40</v>
      </c>
      <c r="D158">
        <v>12</v>
      </c>
      <c r="E158" t="s">
        <v>124</v>
      </c>
      <c r="F158" t="s">
        <v>43</v>
      </c>
      <c r="G158" t="s">
        <v>81</v>
      </c>
    </row>
    <row r="159" spans="1:7" hidden="1" x14ac:dyDescent="0.25">
      <c r="A159" t="s">
        <v>39</v>
      </c>
      <c r="B159" t="s">
        <v>147</v>
      </c>
      <c r="C159" t="s">
        <v>70</v>
      </c>
      <c r="D159">
        <v>13</v>
      </c>
      <c r="E159" t="s">
        <v>125</v>
      </c>
      <c r="F159" t="s">
        <v>44</v>
      </c>
      <c r="G159" t="s">
        <v>82</v>
      </c>
    </row>
    <row r="160" spans="1:7" hidden="1" x14ac:dyDescent="0.25">
      <c r="A160" t="s">
        <v>39</v>
      </c>
      <c r="B160" t="s">
        <v>147</v>
      </c>
      <c r="C160" t="s">
        <v>45</v>
      </c>
      <c r="D160">
        <v>14</v>
      </c>
      <c r="E160">
        <v>3</v>
      </c>
      <c r="F160" t="s">
        <v>71</v>
      </c>
      <c r="G160" t="s">
        <v>46</v>
      </c>
    </row>
    <row r="161" spans="1:7" hidden="1" x14ac:dyDescent="0.25">
      <c r="A161" t="s">
        <v>39</v>
      </c>
      <c r="B161" t="s">
        <v>147</v>
      </c>
      <c r="C161" t="s">
        <v>53</v>
      </c>
      <c r="D161">
        <v>15</v>
      </c>
      <c r="E161">
        <v>2</v>
      </c>
      <c r="F161" t="s">
        <v>71</v>
      </c>
      <c r="G161" t="s">
        <v>83</v>
      </c>
    </row>
    <row r="162" spans="1:7" hidden="1" x14ac:dyDescent="0.25">
      <c r="A162" t="s">
        <v>39</v>
      </c>
      <c r="B162" t="s">
        <v>147</v>
      </c>
      <c r="C162" t="s">
        <v>47</v>
      </c>
      <c r="D162">
        <v>16</v>
      </c>
      <c r="E162" t="s">
        <v>151</v>
      </c>
      <c r="F162" t="s">
        <v>71</v>
      </c>
      <c r="G162" t="s">
        <v>51</v>
      </c>
    </row>
    <row r="163" spans="1:7" hidden="1" x14ac:dyDescent="0.25">
      <c r="A163" t="s">
        <v>39</v>
      </c>
      <c r="B163" t="s">
        <v>147</v>
      </c>
      <c r="C163" t="s">
        <v>48</v>
      </c>
      <c r="D163">
        <v>17</v>
      </c>
      <c r="E163" t="s">
        <v>151</v>
      </c>
      <c r="F163" t="s">
        <v>71</v>
      </c>
      <c r="G163" t="s">
        <v>50</v>
      </c>
    </row>
    <row r="164" spans="1:7" hidden="1" x14ac:dyDescent="0.25">
      <c r="A164" t="s">
        <v>39</v>
      </c>
      <c r="B164" t="s">
        <v>147</v>
      </c>
      <c r="C164" t="s">
        <v>49</v>
      </c>
      <c r="D164">
        <v>18</v>
      </c>
      <c r="E164" t="s">
        <v>151</v>
      </c>
      <c r="F164" t="s">
        <v>71</v>
      </c>
      <c r="G164" t="s">
        <v>52</v>
      </c>
    </row>
    <row r="165" spans="1:7" hidden="1" x14ac:dyDescent="0.25">
      <c r="A165" t="s">
        <v>39</v>
      </c>
      <c r="B165" t="s">
        <v>147</v>
      </c>
      <c r="C165" t="s">
        <v>68</v>
      </c>
      <c r="D165">
        <v>19</v>
      </c>
      <c r="E165">
        <v>250000000</v>
      </c>
      <c r="F165" t="s">
        <v>72</v>
      </c>
      <c r="G165" t="s">
        <v>66</v>
      </c>
    </row>
    <row r="166" spans="1:7" hidden="1" x14ac:dyDescent="0.25">
      <c r="A166" t="s">
        <v>39</v>
      </c>
      <c r="B166" t="s">
        <v>147</v>
      </c>
      <c r="C166" t="s">
        <v>69</v>
      </c>
      <c r="D166">
        <v>20</v>
      </c>
      <c r="E166">
        <v>150000000</v>
      </c>
      <c r="F166" t="s">
        <v>72</v>
      </c>
      <c r="G166" t="s">
        <v>67</v>
      </c>
    </row>
    <row r="167" spans="1:7" x14ac:dyDescent="0.25">
      <c r="A167" t="s">
        <v>39</v>
      </c>
      <c r="B167" t="s">
        <v>147</v>
      </c>
      <c r="C167" t="s">
        <v>86</v>
      </c>
      <c r="D167">
        <v>21</v>
      </c>
      <c r="E167" t="s">
        <v>140</v>
      </c>
      <c r="F167" t="s">
        <v>88</v>
      </c>
      <c r="G167" t="s">
        <v>90</v>
      </c>
    </row>
    <row r="168" spans="1:7" x14ac:dyDescent="0.25">
      <c r="A168" t="s">
        <v>39</v>
      </c>
      <c r="B168" t="s">
        <v>147</v>
      </c>
      <c r="C168" t="s">
        <v>87</v>
      </c>
      <c r="D168">
        <v>22</v>
      </c>
      <c r="E168" t="s">
        <v>141</v>
      </c>
      <c r="F168" t="s">
        <v>89</v>
      </c>
      <c r="G168" t="s">
        <v>91</v>
      </c>
    </row>
    <row r="169" spans="1:7" hidden="1" x14ac:dyDescent="0.25">
      <c r="A169" t="s">
        <v>39</v>
      </c>
      <c r="B169" t="s">
        <v>147</v>
      </c>
      <c r="C169" t="s">
        <v>92</v>
      </c>
      <c r="D169">
        <v>23</v>
      </c>
      <c r="E169">
        <v>1</v>
      </c>
      <c r="F169" t="s">
        <v>88</v>
      </c>
      <c r="G169" t="s">
        <v>93</v>
      </c>
    </row>
    <row r="170" spans="1:7" hidden="1" x14ac:dyDescent="0.25">
      <c r="A170" t="s">
        <v>39</v>
      </c>
      <c r="B170" t="s">
        <v>145</v>
      </c>
      <c r="C170" t="s">
        <v>59</v>
      </c>
      <c r="D170">
        <v>0</v>
      </c>
      <c r="E170" t="s">
        <v>121</v>
      </c>
      <c r="F170" t="s">
        <v>43</v>
      </c>
      <c r="G170" t="s">
        <v>73</v>
      </c>
    </row>
    <row r="171" spans="1:7" hidden="1" x14ac:dyDescent="0.25">
      <c r="A171" t="s">
        <v>39</v>
      </c>
      <c r="B171" t="s">
        <v>145</v>
      </c>
      <c r="C171" t="s">
        <v>63</v>
      </c>
      <c r="D171">
        <v>1</v>
      </c>
      <c r="E171" t="s">
        <v>122</v>
      </c>
      <c r="F171" t="s">
        <v>43</v>
      </c>
      <c r="G171" t="s">
        <v>74</v>
      </c>
    </row>
    <row r="172" spans="1:7" hidden="1" x14ac:dyDescent="0.25">
      <c r="A172" t="s">
        <v>39</v>
      </c>
      <c r="B172" t="s">
        <v>145</v>
      </c>
      <c r="C172" t="s">
        <v>54</v>
      </c>
      <c r="D172">
        <v>2</v>
      </c>
      <c r="E172" t="s">
        <v>123</v>
      </c>
      <c r="F172" t="s">
        <v>43</v>
      </c>
      <c r="G172" t="s">
        <v>75</v>
      </c>
    </row>
    <row r="173" spans="1:7" hidden="1" x14ac:dyDescent="0.25">
      <c r="A173" t="s">
        <v>39</v>
      </c>
      <c r="B173" t="s">
        <v>145</v>
      </c>
      <c r="C173" t="s">
        <v>55</v>
      </c>
      <c r="D173">
        <v>3</v>
      </c>
      <c r="E173" t="s">
        <v>123</v>
      </c>
      <c r="F173" t="s">
        <v>43</v>
      </c>
      <c r="G173" t="s">
        <v>76</v>
      </c>
    </row>
    <row r="174" spans="1:7" hidden="1" x14ac:dyDescent="0.25">
      <c r="A174" t="s">
        <v>39</v>
      </c>
      <c r="B174" t="s">
        <v>145</v>
      </c>
      <c r="C174" t="s">
        <v>56</v>
      </c>
      <c r="D174">
        <v>4</v>
      </c>
      <c r="E174" t="s">
        <v>121</v>
      </c>
      <c r="F174" t="s">
        <v>43</v>
      </c>
      <c r="G174" t="s">
        <v>77</v>
      </c>
    </row>
    <row r="175" spans="1:7" hidden="1" x14ac:dyDescent="0.25">
      <c r="A175" t="s">
        <v>39</v>
      </c>
      <c r="B175" t="s">
        <v>145</v>
      </c>
      <c r="C175" t="s">
        <v>64</v>
      </c>
      <c r="D175">
        <v>5</v>
      </c>
      <c r="E175" t="s">
        <v>126</v>
      </c>
      <c r="F175" t="s">
        <v>41</v>
      </c>
      <c r="G175" t="s">
        <v>85</v>
      </c>
    </row>
    <row r="176" spans="1:7" hidden="1" x14ac:dyDescent="0.25">
      <c r="A176" t="s">
        <v>39</v>
      </c>
      <c r="B176" t="s">
        <v>145</v>
      </c>
      <c r="C176" t="s">
        <v>61</v>
      </c>
      <c r="D176">
        <v>6</v>
      </c>
      <c r="E176" t="s">
        <v>127</v>
      </c>
      <c r="F176" t="s">
        <v>42</v>
      </c>
      <c r="G176" t="s">
        <v>78</v>
      </c>
    </row>
    <row r="177" spans="1:7" hidden="1" x14ac:dyDescent="0.25">
      <c r="A177" t="s">
        <v>39</v>
      </c>
      <c r="B177" t="s">
        <v>145</v>
      </c>
      <c r="C177" t="s">
        <v>62</v>
      </c>
      <c r="D177">
        <v>7</v>
      </c>
      <c r="E177">
        <v>3</v>
      </c>
      <c r="F177" t="s">
        <v>71</v>
      </c>
      <c r="G177" t="s">
        <v>79</v>
      </c>
    </row>
    <row r="178" spans="1:7" hidden="1" x14ac:dyDescent="0.25">
      <c r="A178" t="s">
        <v>39</v>
      </c>
      <c r="B178" t="s">
        <v>145</v>
      </c>
      <c r="C178" t="s">
        <v>65</v>
      </c>
      <c r="D178">
        <v>8</v>
      </c>
      <c r="E178" t="s">
        <v>128</v>
      </c>
      <c r="F178" t="s">
        <v>42</v>
      </c>
      <c r="G178" t="s">
        <v>84</v>
      </c>
    </row>
    <row r="179" spans="1:7" hidden="1" x14ac:dyDescent="0.25">
      <c r="A179" t="s">
        <v>39</v>
      </c>
      <c r="B179" t="s">
        <v>145</v>
      </c>
      <c r="C179" t="s">
        <v>58</v>
      </c>
      <c r="D179">
        <v>9</v>
      </c>
      <c r="E179" t="s">
        <v>119</v>
      </c>
      <c r="F179" t="s">
        <v>43</v>
      </c>
      <c r="G179" t="s">
        <v>117</v>
      </c>
    </row>
    <row r="180" spans="1:7" hidden="1" x14ac:dyDescent="0.25">
      <c r="A180" t="s">
        <v>39</v>
      </c>
      <c r="B180" t="s">
        <v>145</v>
      </c>
      <c r="C180" t="s">
        <v>60</v>
      </c>
      <c r="D180">
        <v>10</v>
      </c>
      <c r="E180" t="s">
        <v>119</v>
      </c>
      <c r="F180" t="s">
        <v>43</v>
      </c>
      <c r="G180" t="s">
        <v>118</v>
      </c>
    </row>
    <row r="181" spans="1:7" hidden="1" x14ac:dyDescent="0.25">
      <c r="A181" t="s">
        <v>39</v>
      </c>
      <c r="B181" t="s">
        <v>145</v>
      </c>
      <c r="C181" t="s">
        <v>57</v>
      </c>
      <c r="D181">
        <v>11</v>
      </c>
      <c r="E181" t="s">
        <v>119</v>
      </c>
      <c r="F181" t="s">
        <v>43</v>
      </c>
      <c r="G181" t="s">
        <v>80</v>
      </c>
    </row>
    <row r="182" spans="1:7" hidden="1" x14ac:dyDescent="0.25">
      <c r="A182" t="s">
        <v>39</v>
      </c>
      <c r="B182" t="s">
        <v>145</v>
      </c>
      <c r="C182" t="s">
        <v>40</v>
      </c>
      <c r="D182">
        <v>12</v>
      </c>
      <c r="E182" t="s">
        <v>124</v>
      </c>
      <c r="F182" t="s">
        <v>43</v>
      </c>
      <c r="G182" t="s">
        <v>81</v>
      </c>
    </row>
    <row r="183" spans="1:7" hidden="1" x14ac:dyDescent="0.25">
      <c r="A183" t="s">
        <v>39</v>
      </c>
      <c r="B183" t="s">
        <v>145</v>
      </c>
      <c r="C183" t="s">
        <v>70</v>
      </c>
      <c r="D183">
        <v>13</v>
      </c>
      <c r="E183" t="s">
        <v>125</v>
      </c>
      <c r="F183" t="s">
        <v>44</v>
      </c>
      <c r="G183" t="s">
        <v>82</v>
      </c>
    </row>
    <row r="184" spans="1:7" hidden="1" x14ac:dyDescent="0.25">
      <c r="A184" t="s">
        <v>39</v>
      </c>
      <c r="B184" t="s">
        <v>145</v>
      </c>
      <c r="C184" t="s">
        <v>45</v>
      </c>
      <c r="D184">
        <v>14</v>
      </c>
      <c r="E184">
        <v>3</v>
      </c>
      <c r="F184" t="s">
        <v>71</v>
      </c>
      <c r="G184" t="s">
        <v>46</v>
      </c>
    </row>
    <row r="185" spans="1:7" hidden="1" x14ac:dyDescent="0.25">
      <c r="A185" t="s">
        <v>39</v>
      </c>
      <c r="B185" t="s">
        <v>145</v>
      </c>
      <c r="C185" t="s">
        <v>53</v>
      </c>
      <c r="D185">
        <v>15</v>
      </c>
      <c r="E185">
        <v>1</v>
      </c>
      <c r="F185" t="s">
        <v>71</v>
      </c>
      <c r="G185" t="s">
        <v>83</v>
      </c>
    </row>
    <row r="186" spans="1:7" hidden="1" x14ac:dyDescent="0.25">
      <c r="A186" t="s">
        <v>39</v>
      </c>
      <c r="B186" t="s">
        <v>145</v>
      </c>
      <c r="C186" t="s">
        <v>47</v>
      </c>
      <c r="D186">
        <v>16</v>
      </c>
      <c r="E186" t="s">
        <v>151</v>
      </c>
      <c r="F186" t="s">
        <v>71</v>
      </c>
      <c r="G186" t="s">
        <v>51</v>
      </c>
    </row>
    <row r="187" spans="1:7" hidden="1" x14ac:dyDescent="0.25">
      <c r="A187" t="s">
        <v>39</v>
      </c>
      <c r="B187" t="s">
        <v>145</v>
      </c>
      <c r="C187" t="s">
        <v>48</v>
      </c>
      <c r="D187">
        <v>17</v>
      </c>
      <c r="E187" t="s">
        <v>151</v>
      </c>
      <c r="F187" t="s">
        <v>71</v>
      </c>
      <c r="G187" t="s">
        <v>50</v>
      </c>
    </row>
    <row r="188" spans="1:7" hidden="1" x14ac:dyDescent="0.25">
      <c r="A188" t="s">
        <v>39</v>
      </c>
      <c r="B188" t="s">
        <v>145</v>
      </c>
      <c r="C188" t="s">
        <v>49</v>
      </c>
      <c r="D188">
        <v>18</v>
      </c>
      <c r="E188" t="s">
        <v>151</v>
      </c>
      <c r="F188" t="s">
        <v>71</v>
      </c>
      <c r="G188" t="s">
        <v>52</v>
      </c>
    </row>
    <row r="189" spans="1:7" hidden="1" x14ac:dyDescent="0.25">
      <c r="A189" t="s">
        <v>39</v>
      </c>
      <c r="B189" t="s">
        <v>145</v>
      </c>
      <c r="C189" t="s">
        <v>68</v>
      </c>
      <c r="D189">
        <v>19</v>
      </c>
      <c r="E189">
        <v>250000000</v>
      </c>
      <c r="F189" t="s">
        <v>72</v>
      </c>
      <c r="G189" t="s">
        <v>66</v>
      </c>
    </row>
    <row r="190" spans="1:7" hidden="1" x14ac:dyDescent="0.25">
      <c r="A190" t="s">
        <v>39</v>
      </c>
      <c r="B190" t="s">
        <v>145</v>
      </c>
      <c r="C190" t="s">
        <v>69</v>
      </c>
      <c r="D190">
        <v>20</v>
      </c>
      <c r="E190">
        <v>150000000</v>
      </c>
      <c r="F190" t="s">
        <v>72</v>
      </c>
      <c r="G190" t="s">
        <v>67</v>
      </c>
    </row>
    <row r="191" spans="1:7" x14ac:dyDescent="0.25">
      <c r="A191" t="s">
        <v>39</v>
      </c>
      <c r="B191" t="s">
        <v>145</v>
      </c>
      <c r="C191" t="s">
        <v>86</v>
      </c>
      <c r="D191">
        <v>21</v>
      </c>
      <c r="E191" t="s">
        <v>140</v>
      </c>
      <c r="F191" t="s">
        <v>88</v>
      </c>
      <c r="G191" t="s">
        <v>90</v>
      </c>
    </row>
    <row r="192" spans="1:7" x14ac:dyDescent="0.25">
      <c r="A192" t="s">
        <v>39</v>
      </c>
      <c r="B192" t="s">
        <v>145</v>
      </c>
      <c r="C192" t="s">
        <v>87</v>
      </c>
      <c r="D192">
        <v>22</v>
      </c>
      <c r="E192" t="s">
        <v>141</v>
      </c>
      <c r="F192" t="s">
        <v>89</v>
      </c>
      <c r="G192" t="s">
        <v>91</v>
      </c>
    </row>
    <row r="193" spans="1:7" hidden="1" x14ac:dyDescent="0.25">
      <c r="A193" t="s">
        <v>39</v>
      </c>
      <c r="B193" t="s">
        <v>145</v>
      </c>
      <c r="C193" t="s">
        <v>92</v>
      </c>
      <c r="D193">
        <v>23</v>
      </c>
      <c r="E193">
        <v>1</v>
      </c>
      <c r="F193" t="s">
        <v>88</v>
      </c>
      <c r="G193" t="s">
        <v>93</v>
      </c>
    </row>
    <row r="194" spans="1:7" hidden="1" x14ac:dyDescent="0.25">
      <c r="A194" t="s">
        <v>39</v>
      </c>
      <c r="B194" t="s">
        <v>146</v>
      </c>
      <c r="C194" t="s">
        <v>59</v>
      </c>
      <c r="D194">
        <v>0</v>
      </c>
      <c r="E194" t="s">
        <v>121</v>
      </c>
      <c r="F194" t="s">
        <v>43</v>
      </c>
      <c r="G194" t="s">
        <v>73</v>
      </c>
    </row>
    <row r="195" spans="1:7" hidden="1" x14ac:dyDescent="0.25">
      <c r="A195" t="s">
        <v>39</v>
      </c>
      <c r="B195" t="s">
        <v>146</v>
      </c>
      <c r="C195" t="s">
        <v>63</v>
      </c>
      <c r="D195">
        <v>1</v>
      </c>
      <c r="E195" t="s">
        <v>122</v>
      </c>
      <c r="F195" t="s">
        <v>43</v>
      </c>
      <c r="G195" t="s">
        <v>74</v>
      </c>
    </row>
    <row r="196" spans="1:7" hidden="1" x14ac:dyDescent="0.25">
      <c r="A196" t="s">
        <v>39</v>
      </c>
      <c r="B196" t="s">
        <v>146</v>
      </c>
      <c r="C196" t="s">
        <v>54</v>
      </c>
      <c r="D196">
        <v>2</v>
      </c>
      <c r="E196" t="s">
        <v>123</v>
      </c>
      <c r="F196" t="s">
        <v>43</v>
      </c>
      <c r="G196" t="s">
        <v>75</v>
      </c>
    </row>
    <row r="197" spans="1:7" hidden="1" x14ac:dyDescent="0.25">
      <c r="A197" t="s">
        <v>39</v>
      </c>
      <c r="B197" t="s">
        <v>146</v>
      </c>
      <c r="C197" t="s">
        <v>55</v>
      </c>
      <c r="D197">
        <v>3</v>
      </c>
      <c r="E197" t="s">
        <v>123</v>
      </c>
      <c r="F197" t="s">
        <v>43</v>
      </c>
      <c r="G197" t="s">
        <v>76</v>
      </c>
    </row>
    <row r="198" spans="1:7" hidden="1" x14ac:dyDescent="0.25">
      <c r="A198" t="s">
        <v>39</v>
      </c>
      <c r="B198" t="s">
        <v>146</v>
      </c>
      <c r="C198" t="s">
        <v>56</v>
      </c>
      <c r="D198">
        <v>4</v>
      </c>
      <c r="E198" t="s">
        <v>121</v>
      </c>
      <c r="F198" t="s">
        <v>43</v>
      </c>
      <c r="G198" t="s">
        <v>77</v>
      </c>
    </row>
    <row r="199" spans="1:7" hidden="1" x14ac:dyDescent="0.25">
      <c r="A199" t="s">
        <v>39</v>
      </c>
      <c r="B199" t="s">
        <v>146</v>
      </c>
      <c r="C199" t="s">
        <v>64</v>
      </c>
      <c r="D199">
        <v>5</v>
      </c>
      <c r="E199" t="s">
        <v>126</v>
      </c>
      <c r="F199" t="s">
        <v>41</v>
      </c>
      <c r="G199" t="s">
        <v>85</v>
      </c>
    </row>
    <row r="200" spans="1:7" hidden="1" x14ac:dyDescent="0.25">
      <c r="A200" t="s">
        <v>39</v>
      </c>
      <c r="B200" t="s">
        <v>146</v>
      </c>
      <c r="C200" t="s">
        <v>61</v>
      </c>
      <c r="D200">
        <v>6</v>
      </c>
      <c r="E200" t="s">
        <v>127</v>
      </c>
      <c r="F200" t="s">
        <v>42</v>
      </c>
      <c r="G200" t="s">
        <v>78</v>
      </c>
    </row>
    <row r="201" spans="1:7" hidden="1" x14ac:dyDescent="0.25">
      <c r="A201" t="s">
        <v>39</v>
      </c>
      <c r="B201" t="s">
        <v>146</v>
      </c>
      <c r="C201" t="s">
        <v>62</v>
      </c>
      <c r="D201">
        <v>7</v>
      </c>
      <c r="E201">
        <v>3</v>
      </c>
      <c r="F201" t="s">
        <v>71</v>
      </c>
      <c r="G201" t="s">
        <v>79</v>
      </c>
    </row>
    <row r="202" spans="1:7" hidden="1" x14ac:dyDescent="0.25">
      <c r="A202" t="s">
        <v>39</v>
      </c>
      <c r="B202" t="s">
        <v>146</v>
      </c>
      <c r="C202" t="s">
        <v>65</v>
      </c>
      <c r="D202">
        <v>8</v>
      </c>
      <c r="E202" t="s">
        <v>128</v>
      </c>
      <c r="F202" t="s">
        <v>42</v>
      </c>
      <c r="G202" t="s">
        <v>84</v>
      </c>
    </row>
    <row r="203" spans="1:7" hidden="1" x14ac:dyDescent="0.25">
      <c r="A203" t="s">
        <v>39</v>
      </c>
      <c r="B203" t="s">
        <v>146</v>
      </c>
      <c r="C203" t="s">
        <v>58</v>
      </c>
      <c r="D203">
        <v>9</v>
      </c>
      <c r="E203" t="s">
        <v>119</v>
      </c>
      <c r="F203" t="s">
        <v>43</v>
      </c>
      <c r="G203" t="s">
        <v>117</v>
      </c>
    </row>
    <row r="204" spans="1:7" hidden="1" x14ac:dyDescent="0.25">
      <c r="A204" t="s">
        <v>39</v>
      </c>
      <c r="B204" t="s">
        <v>146</v>
      </c>
      <c r="C204" t="s">
        <v>60</v>
      </c>
      <c r="D204">
        <v>10</v>
      </c>
      <c r="E204" t="s">
        <v>119</v>
      </c>
      <c r="F204" t="s">
        <v>43</v>
      </c>
      <c r="G204" t="s">
        <v>118</v>
      </c>
    </row>
    <row r="205" spans="1:7" hidden="1" x14ac:dyDescent="0.25">
      <c r="A205" t="s">
        <v>39</v>
      </c>
      <c r="B205" t="s">
        <v>146</v>
      </c>
      <c r="C205" t="s">
        <v>57</v>
      </c>
      <c r="D205">
        <v>11</v>
      </c>
      <c r="E205" t="s">
        <v>119</v>
      </c>
      <c r="F205" t="s">
        <v>43</v>
      </c>
      <c r="G205" t="s">
        <v>80</v>
      </c>
    </row>
    <row r="206" spans="1:7" hidden="1" x14ac:dyDescent="0.25">
      <c r="A206" t="s">
        <v>39</v>
      </c>
      <c r="B206" t="s">
        <v>146</v>
      </c>
      <c r="C206" t="s">
        <v>40</v>
      </c>
      <c r="D206">
        <v>12</v>
      </c>
      <c r="E206" t="s">
        <v>124</v>
      </c>
      <c r="F206" t="s">
        <v>43</v>
      </c>
      <c r="G206" t="s">
        <v>81</v>
      </c>
    </row>
    <row r="207" spans="1:7" hidden="1" x14ac:dyDescent="0.25">
      <c r="A207" t="s">
        <v>39</v>
      </c>
      <c r="B207" t="s">
        <v>146</v>
      </c>
      <c r="C207" t="s">
        <v>70</v>
      </c>
      <c r="D207">
        <v>13</v>
      </c>
      <c r="E207" t="s">
        <v>125</v>
      </c>
      <c r="F207" t="s">
        <v>44</v>
      </c>
      <c r="G207" t="s">
        <v>82</v>
      </c>
    </row>
    <row r="208" spans="1:7" hidden="1" x14ac:dyDescent="0.25">
      <c r="A208" t="s">
        <v>39</v>
      </c>
      <c r="B208" t="s">
        <v>146</v>
      </c>
      <c r="C208" t="s">
        <v>45</v>
      </c>
      <c r="D208">
        <v>14</v>
      </c>
      <c r="E208">
        <v>3</v>
      </c>
      <c r="F208" t="s">
        <v>71</v>
      </c>
      <c r="G208" t="s">
        <v>46</v>
      </c>
    </row>
    <row r="209" spans="1:7" hidden="1" x14ac:dyDescent="0.25">
      <c r="A209" t="s">
        <v>39</v>
      </c>
      <c r="B209" t="s">
        <v>146</v>
      </c>
      <c r="C209" t="s">
        <v>53</v>
      </c>
      <c r="D209">
        <v>15</v>
      </c>
      <c r="E209">
        <v>3</v>
      </c>
      <c r="F209" t="s">
        <v>71</v>
      </c>
      <c r="G209" t="s">
        <v>83</v>
      </c>
    </row>
    <row r="210" spans="1:7" hidden="1" x14ac:dyDescent="0.25">
      <c r="A210" t="s">
        <v>39</v>
      </c>
      <c r="B210" t="s">
        <v>146</v>
      </c>
      <c r="C210" t="s">
        <v>47</v>
      </c>
      <c r="D210">
        <v>16</v>
      </c>
      <c r="E210" t="s">
        <v>151</v>
      </c>
      <c r="F210" t="s">
        <v>71</v>
      </c>
      <c r="G210" t="s">
        <v>51</v>
      </c>
    </row>
    <row r="211" spans="1:7" hidden="1" x14ac:dyDescent="0.25">
      <c r="A211" t="s">
        <v>39</v>
      </c>
      <c r="B211" t="s">
        <v>146</v>
      </c>
      <c r="C211" t="s">
        <v>48</v>
      </c>
      <c r="D211">
        <v>17</v>
      </c>
      <c r="E211" t="s">
        <v>151</v>
      </c>
      <c r="F211" t="s">
        <v>71</v>
      </c>
      <c r="G211" t="s">
        <v>50</v>
      </c>
    </row>
    <row r="212" spans="1:7" hidden="1" x14ac:dyDescent="0.25">
      <c r="A212" t="s">
        <v>39</v>
      </c>
      <c r="B212" t="s">
        <v>146</v>
      </c>
      <c r="C212" t="s">
        <v>49</v>
      </c>
      <c r="D212">
        <v>18</v>
      </c>
      <c r="E212" t="s">
        <v>151</v>
      </c>
      <c r="F212" t="s">
        <v>71</v>
      </c>
      <c r="G212" t="s">
        <v>52</v>
      </c>
    </row>
    <row r="213" spans="1:7" hidden="1" x14ac:dyDescent="0.25">
      <c r="A213" t="s">
        <v>39</v>
      </c>
      <c r="B213" t="s">
        <v>146</v>
      </c>
      <c r="C213" t="s">
        <v>68</v>
      </c>
      <c r="D213">
        <v>19</v>
      </c>
      <c r="E213">
        <v>250000000</v>
      </c>
      <c r="F213" t="s">
        <v>72</v>
      </c>
      <c r="G213" t="s">
        <v>66</v>
      </c>
    </row>
    <row r="214" spans="1:7" hidden="1" x14ac:dyDescent="0.25">
      <c r="A214" t="s">
        <v>39</v>
      </c>
      <c r="B214" t="s">
        <v>146</v>
      </c>
      <c r="C214" t="s">
        <v>69</v>
      </c>
      <c r="D214">
        <v>20</v>
      </c>
      <c r="E214">
        <v>150000000</v>
      </c>
      <c r="F214" t="s">
        <v>72</v>
      </c>
      <c r="G214" t="s">
        <v>67</v>
      </c>
    </row>
    <row r="215" spans="1:7" x14ac:dyDescent="0.25">
      <c r="A215" t="s">
        <v>39</v>
      </c>
      <c r="B215" t="s">
        <v>146</v>
      </c>
      <c r="C215" t="s">
        <v>86</v>
      </c>
      <c r="D215">
        <v>21</v>
      </c>
      <c r="E215" t="s">
        <v>140</v>
      </c>
      <c r="F215" t="s">
        <v>88</v>
      </c>
      <c r="G215" t="s">
        <v>90</v>
      </c>
    </row>
    <row r="216" spans="1:7" x14ac:dyDescent="0.25">
      <c r="A216" t="s">
        <v>39</v>
      </c>
      <c r="B216" t="s">
        <v>146</v>
      </c>
      <c r="C216" t="s">
        <v>87</v>
      </c>
      <c r="D216">
        <v>22</v>
      </c>
      <c r="E216" t="s">
        <v>141</v>
      </c>
      <c r="F216" t="s">
        <v>89</v>
      </c>
      <c r="G216" t="s">
        <v>91</v>
      </c>
    </row>
    <row r="217" spans="1:7" hidden="1" x14ac:dyDescent="0.25">
      <c r="A217" t="s">
        <v>39</v>
      </c>
      <c r="B217" t="s">
        <v>146</v>
      </c>
      <c r="C217" t="s">
        <v>92</v>
      </c>
      <c r="D217">
        <v>23</v>
      </c>
      <c r="E217">
        <v>1</v>
      </c>
      <c r="F217" t="s">
        <v>88</v>
      </c>
      <c r="G217" t="s">
        <v>93</v>
      </c>
    </row>
    <row r="218" spans="1:7" hidden="1" x14ac:dyDescent="0.25">
      <c r="A218" t="s">
        <v>39</v>
      </c>
      <c r="B218" t="s">
        <v>153</v>
      </c>
      <c r="C218" t="s">
        <v>59</v>
      </c>
      <c r="D218">
        <v>0</v>
      </c>
      <c r="E218" t="s">
        <v>121</v>
      </c>
      <c r="F218" t="s">
        <v>43</v>
      </c>
      <c r="G218" t="s">
        <v>73</v>
      </c>
    </row>
    <row r="219" spans="1:7" hidden="1" x14ac:dyDescent="0.25">
      <c r="A219" t="s">
        <v>39</v>
      </c>
      <c r="B219" t="s">
        <v>153</v>
      </c>
      <c r="C219" t="s">
        <v>63</v>
      </c>
      <c r="D219">
        <v>1</v>
      </c>
      <c r="E219" t="s">
        <v>122</v>
      </c>
      <c r="F219" t="s">
        <v>43</v>
      </c>
      <c r="G219" t="s">
        <v>74</v>
      </c>
    </row>
    <row r="220" spans="1:7" hidden="1" x14ac:dyDescent="0.25">
      <c r="A220" t="s">
        <v>39</v>
      </c>
      <c r="B220" t="s">
        <v>153</v>
      </c>
      <c r="C220" t="s">
        <v>54</v>
      </c>
      <c r="D220">
        <v>2</v>
      </c>
      <c r="E220" t="s">
        <v>123</v>
      </c>
      <c r="F220" t="s">
        <v>43</v>
      </c>
      <c r="G220" t="s">
        <v>75</v>
      </c>
    </row>
    <row r="221" spans="1:7" hidden="1" x14ac:dyDescent="0.25">
      <c r="A221" t="s">
        <v>39</v>
      </c>
      <c r="B221" t="s">
        <v>153</v>
      </c>
      <c r="C221" t="s">
        <v>55</v>
      </c>
      <c r="D221">
        <v>3</v>
      </c>
      <c r="E221" t="s">
        <v>123</v>
      </c>
      <c r="F221" t="s">
        <v>43</v>
      </c>
      <c r="G221" t="s">
        <v>76</v>
      </c>
    </row>
    <row r="222" spans="1:7" hidden="1" x14ac:dyDescent="0.25">
      <c r="A222" t="s">
        <v>39</v>
      </c>
      <c r="B222" t="s">
        <v>153</v>
      </c>
      <c r="C222" t="s">
        <v>56</v>
      </c>
      <c r="D222">
        <v>4</v>
      </c>
      <c r="E222" t="s">
        <v>121</v>
      </c>
      <c r="F222" t="s">
        <v>43</v>
      </c>
      <c r="G222" t="s">
        <v>77</v>
      </c>
    </row>
    <row r="223" spans="1:7" hidden="1" x14ac:dyDescent="0.25">
      <c r="A223" t="s">
        <v>39</v>
      </c>
      <c r="B223" t="s">
        <v>153</v>
      </c>
      <c r="C223" t="s">
        <v>64</v>
      </c>
      <c r="D223">
        <v>5</v>
      </c>
      <c r="E223" t="s">
        <v>126</v>
      </c>
      <c r="F223" t="s">
        <v>41</v>
      </c>
      <c r="G223" t="s">
        <v>85</v>
      </c>
    </row>
    <row r="224" spans="1:7" hidden="1" x14ac:dyDescent="0.25">
      <c r="A224" t="s">
        <v>39</v>
      </c>
      <c r="B224" t="s">
        <v>153</v>
      </c>
      <c r="C224" t="s">
        <v>61</v>
      </c>
      <c r="D224">
        <v>6</v>
      </c>
      <c r="E224" t="s">
        <v>127</v>
      </c>
      <c r="F224" t="s">
        <v>42</v>
      </c>
      <c r="G224" t="s">
        <v>78</v>
      </c>
    </row>
    <row r="225" spans="1:7" hidden="1" x14ac:dyDescent="0.25">
      <c r="A225" t="s">
        <v>39</v>
      </c>
      <c r="B225" t="s">
        <v>153</v>
      </c>
      <c r="C225" t="s">
        <v>62</v>
      </c>
      <c r="D225">
        <v>7</v>
      </c>
      <c r="E225">
        <v>6</v>
      </c>
      <c r="F225" t="s">
        <v>71</v>
      </c>
      <c r="G225" t="s">
        <v>79</v>
      </c>
    </row>
    <row r="226" spans="1:7" hidden="1" x14ac:dyDescent="0.25">
      <c r="A226" t="s">
        <v>39</v>
      </c>
      <c r="B226" t="s">
        <v>153</v>
      </c>
      <c r="C226" t="s">
        <v>65</v>
      </c>
      <c r="D226">
        <v>8</v>
      </c>
      <c r="E226" t="s">
        <v>128</v>
      </c>
      <c r="F226" t="s">
        <v>42</v>
      </c>
      <c r="G226" t="s">
        <v>84</v>
      </c>
    </row>
    <row r="227" spans="1:7" hidden="1" x14ac:dyDescent="0.25">
      <c r="A227" t="s">
        <v>39</v>
      </c>
      <c r="B227" t="s">
        <v>153</v>
      </c>
      <c r="C227" t="s">
        <v>58</v>
      </c>
      <c r="D227">
        <v>9</v>
      </c>
      <c r="E227" t="s">
        <v>119</v>
      </c>
      <c r="F227" t="s">
        <v>43</v>
      </c>
      <c r="G227" t="s">
        <v>117</v>
      </c>
    </row>
    <row r="228" spans="1:7" hidden="1" x14ac:dyDescent="0.25">
      <c r="A228" t="s">
        <v>39</v>
      </c>
      <c r="B228" t="s">
        <v>153</v>
      </c>
      <c r="C228" t="s">
        <v>60</v>
      </c>
      <c r="D228">
        <v>10</v>
      </c>
      <c r="E228" t="s">
        <v>119</v>
      </c>
      <c r="F228" t="s">
        <v>43</v>
      </c>
      <c r="G228" t="s">
        <v>118</v>
      </c>
    </row>
    <row r="229" spans="1:7" hidden="1" x14ac:dyDescent="0.25">
      <c r="A229" t="s">
        <v>39</v>
      </c>
      <c r="B229" t="s">
        <v>153</v>
      </c>
      <c r="C229" t="s">
        <v>57</v>
      </c>
      <c r="D229">
        <v>11</v>
      </c>
      <c r="E229" t="s">
        <v>119</v>
      </c>
      <c r="F229" t="s">
        <v>43</v>
      </c>
      <c r="G229" t="s">
        <v>80</v>
      </c>
    </row>
    <row r="230" spans="1:7" hidden="1" x14ac:dyDescent="0.25">
      <c r="A230" t="s">
        <v>39</v>
      </c>
      <c r="B230" t="s">
        <v>153</v>
      </c>
      <c r="C230" t="s">
        <v>40</v>
      </c>
      <c r="D230">
        <v>12</v>
      </c>
      <c r="E230" t="s">
        <v>124</v>
      </c>
      <c r="F230" t="s">
        <v>43</v>
      </c>
      <c r="G230" t="s">
        <v>81</v>
      </c>
    </row>
    <row r="231" spans="1:7" hidden="1" x14ac:dyDescent="0.25">
      <c r="A231" t="s">
        <v>39</v>
      </c>
      <c r="B231" t="s">
        <v>153</v>
      </c>
      <c r="C231" t="s">
        <v>70</v>
      </c>
      <c r="D231">
        <v>13</v>
      </c>
      <c r="E231" t="s">
        <v>125</v>
      </c>
      <c r="F231" t="s">
        <v>44</v>
      </c>
      <c r="G231" t="s">
        <v>82</v>
      </c>
    </row>
    <row r="232" spans="1:7" hidden="1" x14ac:dyDescent="0.25">
      <c r="A232" t="s">
        <v>39</v>
      </c>
      <c r="B232" t="s">
        <v>153</v>
      </c>
      <c r="C232" t="s">
        <v>45</v>
      </c>
      <c r="D232">
        <v>14</v>
      </c>
      <c r="E232">
        <v>6</v>
      </c>
      <c r="F232" t="s">
        <v>71</v>
      </c>
      <c r="G232" t="s">
        <v>46</v>
      </c>
    </row>
    <row r="233" spans="1:7" hidden="1" x14ac:dyDescent="0.25">
      <c r="A233" t="s">
        <v>39</v>
      </c>
      <c r="B233" t="s">
        <v>153</v>
      </c>
      <c r="C233" t="s">
        <v>53</v>
      </c>
      <c r="D233">
        <v>15</v>
      </c>
      <c r="E233">
        <v>2</v>
      </c>
      <c r="F233" t="s">
        <v>71</v>
      </c>
      <c r="G233" t="s">
        <v>83</v>
      </c>
    </row>
    <row r="234" spans="1:7" hidden="1" x14ac:dyDescent="0.25">
      <c r="A234" t="s">
        <v>39</v>
      </c>
      <c r="B234" t="s">
        <v>153</v>
      </c>
      <c r="C234" t="s">
        <v>47</v>
      </c>
      <c r="D234">
        <v>16</v>
      </c>
      <c r="E234" t="s">
        <v>135</v>
      </c>
      <c r="F234" t="s">
        <v>71</v>
      </c>
      <c r="G234" t="s">
        <v>51</v>
      </c>
    </row>
    <row r="235" spans="1:7" hidden="1" x14ac:dyDescent="0.25">
      <c r="A235" t="s">
        <v>39</v>
      </c>
      <c r="B235" t="s">
        <v>153</v>
      </c>
      <c r="C235" t="s">
        <v>48</v>
      </c>
      <c r="D235">
        <v>17</v>
      </c>
      <c r="E235" t="s">
        <v>135</v>
      </c>
      <c r="F235" t="s">
        <v>71</v>
      </c>
      <c r="G235" t="s">
        <v>50</v>
      </c>
    </row>
    <row r="236" spans="1:7" hidden="1" x14ac:dyDescent="0.25">
      <c r="A236" t="s">
        <v>39</v>
      </c>
      <c r="B236" t="s">
        <v>153</v>
      </c>
      <c r="C236" t="s">
        <v>49</v>
      </c>
      <c r="D236">
        <v>18</v>
      </c>
      <c r="E236" t="s">
        <v>135</v>
      </c>
      <c r="F236" t="s">
        <v>71</v>
      </c>
      <c r="G236" t="s">
        <v>52</v>
      </c>
    </row>
    <row r="237" spans="1:7" hidden="1" x14ac:dyDescent="0.25">
      <c r="A237" t="s">
        <v>39</v>
      </c>
      <c r="B237" t="s">
        <v>153</v>
      </c>
      <c r="C237" t="s">
        <v>68</v>
      </c>
      <c r="D237">
        <v>19</v>
      </c>
      <c r="E237">
        <v>250000000</v>
      </c>
      <c r="F237" t="s">
        <v>72</v>
      </c>
      <c r="G237" t="s">
        <v>66</v>
      </c>
    </row>
    <row r="238" spans="1:7" hidden="1" x14ac:dyDescent="0.25">
      <c r="A238" t="s">
        <v>39</v>
      </c>
      <c r="B238" t="s">
        <v>153</v>
      </c>
      <c r="C238" t="s">
        <v>69</v>
      </c>
      <c r="D238">
        <v>20</v>
      </c>
      <c r="E238">
        <v>150000000</v>
      </c>
      <c r="F238" t="s">
        <v>72</v>
      </c>
      <c r="G238" t="s">
        <v>67</v>
      </c>
    </row>
    <row r="239" spans="1:7" x14ac:dyDescent="0.25">
      <c r="A239" t="s">
        <v>39</v>
      </c>
      <c r="B239" t="s">
        <v>153</v>
      </c>
      <c r="C239" t="s">
        <v>86</v>
      </c>
      <c r="D239">
        <v>21</v>
      </c>
      <c r="E239" t="s">
        <v>140</v>
      </c>
      <c r="F239" t="s">
        <v>88</v>
      </c>
      <c r="G239" t="s">
        <v>90</v>
      </c>
    </row>
    <row r="240" spans="1:7" x14ac:dyDescent="0.25">
      <c r="A240" t="s">
        <v>39</v>
      </c>
      <c r="B240" t="s">
        <v>153</v>
      </c>
      <c r="C240" t="s">
        <v>87</v>
      </c>
      <c r="D240">
        <v>22</v>
      </c>
      <c r="E240" t="s">
        <v>141</v>
      </c>
      <c r="F240" t="s">
        <v>89</v>
      </c>
      <c r="G240" t="s">
        <v>91</v>
      </c>
    </row>
    <row r="241" spans="1:7" hidden="1" x14ac:dyDescent="0.25">
      <c r="A241" t="s">
        <v>39</v>
      </c>
      <c r="B241" t="s">
        <v>153</v>
      </c>
      <c r="C241" t="s">
        <v>92</v>
      </c>
      <c r="D241">
        <v>23</v>
      </c>
      <c r="E241">
        <v>1</v>
      </c>
      <c r="F241" t="s">
        <v>88</v>
      </c>
      <c r="G241" t="s">
        <v>93</v>
      </c>
    </row>
    <row r="242" spans="1:7" hidden="1" x14ac:dyDescent="0.25">
      <c r="A242" t="s">
        <v>39</v>
      </c>
      <c r="B242" t="s">
        <v>156</v>
      </c>
      <c r="C242" t="s">
        <v>59</v>
      </c>
      <c r="D242">
        <v>0</v>
      </c>
      <c r="E242" t="s">
        <v>121</v>
      </c>
      <c r="F242" t="s">
        <v>43</v>
      </c>
      <c r="G242" t="s">
        <v>73</v>
      </c>
    </row>
    <row r="243" spans="1:7" hidden="1" x14ac:dyDescent="0.25">
      <c r="A243" t="s">
        <v>39</v>
      </c>
      <c r="B243" t="s">
        <v>156</v>
      </c>
      <c r="C243" t="s">
        <v>63</v>
      </c>
      <c r="D243">
        <v>1</v>
      </c>
      <c r="E243" t="s">
        <v>122</v>
      </c>
      <c r="F243" t="s">
        <v>43</v>
      </c>
      <c r="G243" t="s">
        <v>74</v>
      </c>
    </row>
    <row r="244" spans="1:7" hidden="1" x14ac:dyDescent="0.25">
      <c r="A244" t="s">
        <v>39</v>
      </c>
      <c r="B244" t="s">
        <v>156</v>
      </c>
      <c r="C244" t="s">
        <v>54</v>
      </c>
      <c r="D244">
        <v>2</v>
      </c>
      <c r="E244" t="s">
        <v>123</v>
      </c>
      <c r="F244" t="s">
        <v>43</v>
      </c>
      <c r="G244" t="s">
        <v>75</v>
      </c>
    </row>
    <row r="245" spans="1:7" hidden="1" x14ac:dyDescent="0.25">
      <c r="A245" t="s">
        <v>39</v>
      </c>
      <c r="B245" t="s">
        <v>156</v>
      </c>
      <c r="C245" t="s">
        <v>55</v>
      </c>
      <c r="D245">
        <v>3</v>
      </c>
      <c r="E245" t="s">
        <v>123</v>
      </c>
      <c r="F245" t="s">
        <v>43</v>
      </c>
      <c r="G245" t="s">
        <v>76</v>
      </c>
    </row>
    <row r="246" spans="1:7" hidden="1" x14ac:dyDescent="0.25">
      <c r="A246" t="s">
        <v>39</v>
      </c>
      <c r="B246" t="s">
        <v>156</v>
      </c>
      <c r="C246" t="s">
        <v>56</v>
      </c>
      <c r="D246">
        <v>4</v>
      </c>
      <c r="E246" t="s">
        <v>121</v>
      </c>
      <c r="F246" t="s">
        <v>43</v>
      </c>
      <c r="G246" t="s">
        <v>77</v>
      </c>
    </row>
    <row r="247" spans="1:7" hidden="1" x14ac:dyDescent="0.25">
      <c r="A247" t="s">
        <v>39</v>
      </c>
      <c r="B247" t="s">
        <v>156</v>
      </c>
      <c r="C247" t="s">
        <v>64</v>
      </c>
      <c r="D247">
        <v>5</v>
      </c>
      <c r="E247" t="s">
        <v>126</v>
      </c>
      <c r="F247" t="s">
        <v>41</v>
      </c>
      <c r="G247" t="s">
        <v>85</v>
      </c>
    </row>
    <row r="248" spans="1:7" hidden="1" x14ac:dyDescent="0.25">
      <c r="A248" t="s">
        <v>39</v>
      </c>
      <c r="B248" t="s">
        <v>156</v>
      </c>
      <c r="C248" t="s">
        <v>61</v>
      </c>
      <c r="D248">
        <v>6</v>
      </c>
      <c r="E248" t="s">
        <v>127</v>
      </c>
      <c r="F248" t="s">
        <v>42</v>
      </c>
      <c r="G248" t="s">
        <v>78</v>
      </c>
    </row>
    <row r="249" spans="1:7" hidden="1" x14ac:dyDescent="0.25">
      <c r="A249" t="s">
        <v>39</v>
      </c>
      <c r="B249" t="s">
        <v>156</v>
      </c>
      <c r="C249" t="s">
        <v>62</v>
      </c>
      <c r="D249">
        <v>7</v>
      </c>
      <c r="E249">
        <v>6</v>
      </c>
      <c r="F249" t="s">
        <v>71</v>
      </c>
      <c r="G249" t="s">
        <v>79</v>
      </c>
    </row>
    <row r="250" spans="1:7" hidden="1" x14ac:dyDescent="0.25">
      <c r="A250" t="s">
        <v>39</v>
      </c>
      <c r="B250" t="s">
        <v>156</v>
      </c>
      <c r="C250" t="s">
        <v>65</v>
      </c>
      <c r="D250">
        <v>8</v>
      </c>
      <c r="E250" t="s">
        <v>128</v>
      </c>
      <c r="F250" t="s">
        <v>42</v>
      </c>
      <c r="G250" t="s">
        <v>84</v>
      </c>
    </row>
    <row r="251" spans="1:7" hidden="1" x14ac:dyDescent="0.25">
      <c r="A251" t="s">
        <v>39</v>
      </c>
      <c r="B251" t="s">
        <v>156</v>
      </c>
      <c r="C251" t="s">
        <v>58</v>
      </c>
      <c r="D251">
        <v>9</v>
      </c>
      <c r="E251" t="s">
        <v>119</v>
      </c>
      <c r="F251" t="s">
        <v>43</v>
      </c>
      <c r="G251" t="s">
        <v>117</v>
      </c>
    </row>
    <row r="252" spans="1:7" hidden="1" x14ac:dyDescent="0.25">
      <c r="A252" t="s">
        <v>39</v>
      </c>
      <c r="B252" t="s">
        <v>156</v>
      </c>
      <c r="C252" t="s">
        <v>60</v>
      </c>
      <c r="D252">
        <v>10</v>
      </c>
      <c r="E252" t="s">
        <v>119</v>
      </c>
      <c r="F252" t="s">
        <v>43</v>
      </c>
      <c r="G252" t="s">
        <v>118</v>
      </c>
    </row>
    <row r="253" spans="1:7" hidden="1" x14ac:dyDescent="0.25">
      <c r="A253" t="s">
        <v>39</v>
      </c>
      <c r="B253" t="s">
        <v>156</v>
      </c>
      <c r="C253" t="s">
        <v>57</v>
      </c>
      <c r="D253">
        <v>11</v>
      </c>
      <c r="E253" t="s">
        <v>119</v>
      </c>
      <c r="F253" t="s">
        <v>43</v>
      </c>
      <c r="G253" t="s">
        <v>80</v>
      </c>
    </row>
    <row r="254" spans="1:7" hidden="1" x14ac:dyDescent="0.25">
      <c r="A254" t="s">
        <v>39</v>
      </c>
      <c r="B254" t="s">
        <v>156</v>
      </c>
      <c r="C254" t="s">
        <v>40</v>
      </c>
      <c r="D254">
        <v>12</v>
      </c>
      <c r="E254" t="s">
        <v>124</v>
      </c>
      <c r="F254" t="s">
        <v>43</v>
      </c>
      <c r="G254" t="s">
        <v>81</v>
      </c>
    </row>
    <row r="255" spans="1:7" hidden="1" x14ac:dyDescent="0.25">
      <c r="A255" t="s">
        <v>39</v>
      </c>
      <c r="B255" t="s">
        <v>156</v>
      </c>
      <c r="C255" t="s">
        <v>70</v>
      </c>
      <c r="D255">
        <v>13</v>
      </c>
      <c r="E255" t="s">
        <v>125</v>
      </c>
      <c r="F255" t="s">
        <v>44</v>
      </c>
      <c r="G255" t="s">
        <v>82</v>
      </c>
    </row>
    <row r="256" spans="1:7" hidden="1" x14ac:dyDescent="0.25">
      <c r="A256" t="s">
        <v>39</v>
      </c>
      <c r="B256" t="s">
        <v>156</v>
      </c>
      <c r="C256" t="s">
        <v>45</v>
      </c>
      <c r="D256">
        <v>14</v>
      </c>
      <c r="E256">
        <v>6</v>
      </c>
      <c r="F256" t="s">
        <v>71</v>
      </c>
      <c r="G256" t="s">
        <v>46</v>
      </c>
    </row>
    <row r="257" spans="1:7" hidden="1" x14ac:dyDescent="0.25">
      <c r="A257" t="s">
        <v>39</v>
      </c>
      <c r="B257" t="s">
        <v>156</v>
      </c>
      <c r="C257" t="s">
        <v>53</v>
      </c>
      <c r="D257">
        <v>15</v>
      </c>
      <c r="E257">
        <v>3</v>
      </c>
      <c r="F257" t="s">
        <v>71</v>
      </c>
      <c r="G257" t="s">
        <v>83</v>
      </c>
    </row>
    <row r="258" spans="1:7" hidden="1" x14ac:dyDescent="0.25">
      <c r="A258" t="s">
        <v>39</v>
      </c>
      <c r="B258" t="s">
        <v>156</v>
      </c>
      <c r="C258" t="s">
        <v>47</v>
      </c>
      <c r="D258">
        <v>16</v>
      </c>
      <c r="E258" t="s">
        <v>135</v>
      </c>
      <c r="F258" t="s">
        <v>71</v>
      </c>
      <c r="G258" t="s">
        <v>51</v>
      </c>
    </row>
    <row r="259" spans="1:7" hidden="1" x14ac:dyDescent="0.25">
      <c r="A259" t="s">
        <v>39</v>
      </c>
      <c r="B259" t="s">
        <v>156</v>
      </c>
      <c r="C259" t="s">
        <v>48</v>
      </c>
      <c r="D259">
        <v>17</v>
      </c>
      <c r="E259" t="s">
        <v>135</v>
      </c>
      <c r="F259" t="s">
        <v>71</v>
      </c>
      <c r="G259" t="s">
        <v>50</v>
      </c>
    </row>
    <row r="260" spans="1:7" hidden="1" x14ac:dyDescent="0.25">
      <c r="A260" t="s">
        <v>39</v>
      </c>
      <c r="B260" t="s">
        <v>156</v>
      </c>
      <c r="C260" t="s">
        <v>49</v>
      </c>
      <c r="D260">
        <v>18</v>
      </c>
      <c r="E260" t="s">
        <v>135</v>
      </c>
      <c r="F260" t="s">
        <v>71</v>
      </c>
      <c r="G260" t="s">
        <v>52</v>
      </c>
    </row>
    <row r="261" spans="1:7" hidden="1" x14ac:dyDescent="0.25">
      <c r="A261" t="s">
        <v>39</v>
      </c>
      <c r="B261" t="s">
        <v>156</v>
      </c>
      <c r="C261" t="s">
        <v>68</v>
      </c>
      <c r="D261">
        <v>19</v>
      </c>
      <c r="E261">
        <v>250000000</v>
      </c>
      <c r="F261" t="s">
        <v>72</v>
      </c>
      <c r="G261" t="s">
        <v>66</v>
      </c>
    </row>
    <row r="262" spans="1:7" hidden="1" x14ac:dyDescent="0.25">
      <c r="A262" t="s">
        <v>39</v>
      </c>
      <c r="B262" t="s">
        <v>156</v>
      </c>
      <c r="C262" t="s">
        <v>69</v>
      </c>
      <c r="D262">
        <v>20</v>
      </c>
      <c r="E262">
        <v>150000000</v>
      </c>
      <c r="F262" t="s">
        <v>72</v>
      </c>
      <c r="G262" t="s">
        <v>67</v>
      </c>
    </row>
    <row r="263" spans="1:7" x14ac:dyDescent="0.25">
      <c r="A263" t="s">
        <v>39</v>
      </c>
      <c r="B263" t="s">
        <v>156</v>
      </c>
      <c r="C263" t="s">
        <v>86</v>
      </c>
      <c r="D263">
        <v>21</v>
      </c>
      <c r="E263" t="s">
        <v>140</v>
      </c>
      <c r="F263" t="s">
        <v>88</v>
      </c>
      <c r="G263" t="s">
        <v>90</v>
      </c>
    </row>
    <row r="264" spans="1:7" x14ac:dyDescent="0.25">
      <c r="A264" t="s">
        <v>39</v>
      </c>
      <c r="B264" t="s">
        <v>156</v>
      </c>
      <c r="C264" t="s">
        <v>87</v>
      </c>
      <c r="D264">
        <v>22</v>
      </c>
      <c r="E264" t="s">
        <v>141</v>
      </c>
      <c r="F264" t="s">
        <v>89</v>
      </c>
      <c r="G264" t="s">
        <v>91</v>
      </c>
    </row>
    <row r="265" spans="1:7" hidden="1" x14ac:dyDescent="0.25">
      <c r="A265" t="s">
        <v>39</v>
      </c>
      <c r="B265" t="s">
        <v>156</v>
      </c>
      <c r="C265" t="s">
        <v>92</v>
      </c>
      <c r="D265">
        <v>23</v>
      </c>
      <c r="E265">
        <v>1</v>
      </c>
      <c r="F265" t="s">
        <v>88</v>
      </c>
      <c r="G265" t="s">
        <v>93</v>
      </c>
    </row>
    <row r="266" spans="1:7" hidden="1" x14ac:dyDescent="0.25">
      <c r="A266" t="s">
        <v>39</v>
      </c>
      <c r="B266" t="s">
        <v>155</v>
      </c>
      <c r="C266" t="s">
        <v>59</v>
      </c>
      <c r="D266">
        <v>0</v>
      </c>
      <c r="E266" t="s">
        <v>121</v>
      </c>
      <c r="F266" t="s">
        <v>43</v>
      </c>
      <c r="G266" t="s">
        <v>73</v>
      </c>
    </row>
    <row r="267" spans="1:7" hidden="1" x14ac:dyDescent="0.25">
      <c r="A267" t="s">
        <v>39</v>
      </c>
      <c r="B267" t="s">
        <v>155</v>
      </c>
      <c r="C267" t="s">
        <v>63</v>
      </c>
      <c r="D267">
        <v>1</v>
      </c>
      <c r="E267" t="s">
        <v>122</v>
      </c>
      <c r="F267" t="s">
        <v>43</v>
      </c>
      <c r="G267" t="s">
        <v>74</v>
      </c>
    </row>
    <row r="268" spans="1:7" hidden="1" x14ac:dyDescent="0.25">
      <c r="A268" t="s">
        <v>39</v>
      </c>
      <c r="B268" t="s">
        <v>155</v>
      </c>
      <c r="C268" t="s">
        <v>54</v>
      </c>
      <c r="D268">
        <v>2</v>
      </c>
      <c r="E268" t="s">
        <v>123</v>
      </c>
      <c r="F268" t="s">
        <v>43</v>
      </c>
      <c r="G268" t="s">
        <v>75</v>
      </c>
    </row>
    <row r="269" spans="1:7" hidden="1" x14ac:dyDescent="0.25">
      <c r="A269" t="s">
        <v>39</v>
      </c>
      <c r="B269" t="s">
        <v>155</v>
      </c>
      <c r="C269" t="s">
        <v>55</v>
      </c>
      <c r="D269">
        <v>3</v>
      </c>
      <c r="E269" t="s">
        <v>123</v>
      </c>
      <c r="F269" t="s">
        <v>43</v>
      </c>
      <c r="G269" t="s">
        <v>76</v>
      </c>
    </row>
    <row r="270" spans="1:7" hidden="1" x14ac:dyDescent="0.25">
      <c r="A270" t="s">
        <v>39</v>
      </c>
      <c r="B270" t="s">
        <v>155</v>
      </c>
      <c r="C270" t="s">
        <v>56</v>
      </c>
      <c r="D270">
        <v>4</v>
      </c>
      <c r="E270" t="s">
        <v>121</v>
      </c>
      <c r="F270" t="s">
        <v>43</v>
      </c>
      <c r="G270" t="s">
        <v>77</v>
      </c>
    </row>
    <row r="271" spans="1:7" hidden="1" x14ac:dyDescent="0.25">
      <c r="A271" t="s">
        <v>39</v>
      </c>
      <c r="B271" t="s">
        <v>155</v>
      </c>
      <c r="C271" t="s">
        <v>64</v>
      </c>
      <c r="D271">
        <v>5</v>
      </c>
      <c r="E271" t="s">
        <v>126</v>
      </c>
      <c r="F271" t="s">
        <v>41</v>
      </c>
      <c r="G271" t="s">
        <v>85</v>
      </c>
    </row>
    <row r="272" spans="1:7" hidden="1" x14ac:dyDescent="0.25">
      <c r="A272" t="s">
        <v>39</v>
      </c>
      <c r="B272" t="s">
        <v>155</v>
      </c>
      <c r="C272" t="s">
        <v>61</v>
      </c>
      <c r="D272">
        <v>6</v>
      </c>
      <c r="E272" t="s">
        <v>127</v>
      </c>
      <c r="F272" t="s">
        <v>42</v>
      </c>
      <c r="G272" t="s">
        <v>78</v>
      </c>
    </row>
    <row r="273" spans="1:7" hidden="1" x14ac:dyDescent="0.25">
      <c r="A273" t="s">
        <v>39</v>
      </c>
      <c r="B273" t="s">
        <v>155</v>
      </c>
      <c r="C273" t="s">
        <v>62</v>
      </c>
      <c r="D273">
        <v>7</v>
      </c>
      <c r="E273">
        <v>6</v>
      </c>
      <c r="F273" t="s">
        <v>71</v>
      </c>
      <c r="G273" t="s">
        <v>79</v>
      </c>
    </row>
    <row r="274" spans="1:7" hidden="1" x14ac:dyDescent="0.25">
      <c r="A274" t="s">
        <v>39</v>
      </c>
      <c r="B274" t="s">
        <v>155</v>
      </c>
      <c r="C274" t="s">
        <v>65</v>
      </c>
      <c r="D274">
        <v>8</v>
      </c>
      <c r="E274" t="s">
        <v>128</v>
      </c>
      <c r="F274" t="s">
        <v>42</v>
      </c>
      <c r="G274" t="s">
        <v>84</v>
      </c>
    </row>
    <row r="275" spans="1:7" hidden="1" x14ac:dyDescent="0.25">
      <c r="A275" t="s">
        <v>39</v>
      </c>
      <c r="B275" t="s">
        <v>155</v>
      </c>
      <c r="C275" t="s">
        <v>58</v>
      </c>
      <c r="D275">
        <v>9</v>
      </c>
      <c r="E275" t="s">
        <v>119</v>
      </c>
      <c r="F275" t="s">
        <v>43</v>
      </c>
      <c r="G275" t="s">
        <v>117</v>
      </c>
    </row>
    <row r="276" spans="1:7" hidden="1" x14ac:dyDescent="0.25">
      <c r="A276" t="s">
        <v>39</v>
      </c>
      <c r="B276" t="s">
        <v>155</v>
      </c>
      <c r="C276" t="s">
        <v>60</v>
      </c>
      <c r="D276">
        <v>10</v>
      </c>
      <c r="E276" t="s">
        <v>119</v>
      </c>
      <c r="F276" t="s">
        <v>43</v>
      </c>
      <c r="G276" t="s">
        <v>118</v>
      </c>
    </row>
    <row r="277" spans="1:7" hidden="1" x14ac:dyDescent="0.25">
      <c r="A277" t="s">
        <v>39</v>
      </c>
      <c r="B277" t="s">
        <v>155</v>
      </c>
      <c r="C277" t="s">
        <v>57</v>
      </c>
      <c r="D277">
        <v>11</v>
      </c>
      <c r="E277" t="s">
        <v>119</v>
      </c>
      <c r="F277" t="s">
        <v>43</v>
      </c>
      <c r="G277" t="s">
        <v>80</v>
      </c>
    </row>
    <row r="278" spans="1:7" hidden="1" x14ac:dyDescent="0.25">
      <c r="A278" t="s">
        <v>39</v>
      </c>
      <c r="B278" t="s">
        <v>155</v>
      </c>
      <c r="C278" t="s">
        <v>40</v>
      </c>
      <c r="D278">
        <v>12</v>
      </c>
      <c r="E278" t="s">
        <v>124</v>
      </c>
      <c r="F278" t="s">
        <v>43</v>
      </c>
      <c r="G278" t="s">
        <v>81</v>
      </c>
    </row>
    <row r="279" spans="1:7" hidden="1" x14ac:dyDescent="0.25">
      <c r="A279" t="s">
        <v>39</v>
      </c>
      <c r="B279" t="s">
        <v>155</v>
      </c>
      <c r="C279" t="s">
        <v>70</v>
      </c>
      <c r="D279">
        <v>13</v>
      </c>
      <c r="E279" t="s">
        <v>125</v>
      </c>
      <c r="F279" t="s">
        <v>44</v>
      </c>
      <c r="G279" t="s">
        <v>82</v>
      </c>
    </row>
    <row r="280" spans="1:7" hidden="1" x14ac:dyDescent="0.25">
      <c r="A280" t="s">
        <v>39</v>
      </c>
      <c r="B280" t="s">
        <v>155</v>
      </c>
      <c r="C280" t="s">
        <v>45</v>
      </c>
      <c r="D280">
        <v>14</v>
      </c>
      <c r="E280">
        <v>6</v>
      </c>
      <c r="F280" t="s">
        <v>71</v>
      </c>
      <c r="G280" t="s">
        <v>46</v>
      </c>
    </row>
    <row r="281" spans="1:7" hidden="1" x14ac:dyDescent="0.25">
      <c r="A281" t="s">
        <v>39</v>
      </c>
      <c r="B281" t="s">
        <v>155</v>
      </c>
      <c r="C281" t="s">
        <v>53</v>
      </c>
      <c r="D281">
        <v>15</v>
      </c>
      <c r="E281">
        <v>4</v>
      </c>
      <c r="F281" t="s">
        <v>71</v>
      </c>
      <c r="G281" t="s">
        <v>83</v>
      </c>
    </row>
    <row r="282" spans="1:7" hidden="1" x14ac:dyDescent="0.25">
      <c r="A282" t="s">
        <v>39</v>
      </c>
      <c r="B282" t="s">
        <v>155</v>
      </c>
      <c r="C282" t="s">
        <v>47</v>
      </c>
      <c r="D282">
        <v>16</v>
      </c>
      <c r="E282" t="s">
        <v>135</v>
      </c>
      <c r="F282" t="s">
        <v>71</v>
      </c>
      <c r="G282" t="s">
        <v>51</v>
      </c>
    </row>
    <row r="283" spans="1:7" hidden="1" x14ac:dyDescent="0.25">
      <c r="A283" t="s">
        <v>39</v>
      </c>
      <c r="B283" t="s">
        <v>155</v>
      </c>
      <c r="C283" t="s">
        <v>48</v>
      </c>
      <c r="D283">
        <v>17</v>
      </c>
      <c r="E283" t="s">
        <v>135</v>
      </c>
      <c r="F283" t="s">
        <v>71</v>
      </c>
      <c r="G283" t="s">
        <v>50</v>
      </c>
    </row>
    <row r="284" spans="1:7" hidden="1" x14ac:dyDescent="0.25">
      <c r="A284" t="s">
        <v>39</v>
      </c>
      <c r="B284" t="s">
        <v>155</v>
      </c>
      <c r="C284" t="s">
        <v>49</v>
      </c>
      <c r="D284">
        <v>18</v>
      </c>
      <c r="E284" t="s">
        <v>135</v>
      </c>
      <c r="F284" t="s">
        <v>71</v>
      </c>
      <c r="G284" t="s">
        <v>52</v>
      </c>
    </row>
    <row r="285" spans="1:7" hidden="1" x14ac:dyDescent="0.25">
      <c r="A285" t="s">
        <v>39</v>
      </c>
      <c r="B285" t="s">
        <v>155</v>
      </c>
      <c r="C285" t="s">
        <v>68</v>
      </c>
      <c r="D285">
        <v>19</v>
      </c>
      <c r="E285">
        <v>250000000</v>
      </c>
      <c r="F285" t="s">
        <v>72</v>
      </c>
      <c r="G285" t="s">
        <v>66</v>
      </c>
    </row>
    <row r="286" spans="1:7" hidden="1" x14ac:dyDescent="0.25">
      <c r="A286" t="s">
        <v>39</v>
      </c>
      <c r="B286" t="s">
        <v>155</v>
      </c>
      <c r="C286" t="s">
        <v>69</v>
      </c>
      <c r="D286">
        <v>20</v>
      </c>
      <c r="E286">
        <v>150000000</v>
      </c>
      <c r="F286" t="s">
        <v>72</v>
      </c>
      <c r="G286" t="s">
        <v>67</v>
      </c>
    </row>
    <row r="287" spans="1:7" x14ac:dyDescent="0.25">
      <c r="A287" t="s">
        <v>39</v>
      </c>
      <c r="B287" t="s">
        <v>155</v>
      </c>
      <c r="C287" t="s">
        <v>86</v>
      </c>
      <c r="D287">
        <v>21</v>
      </c>
      <c r="E287" t="s">
        <v>140</v>
      </c>
      <c r="F287" t="s">
        <v>88</v>
      </c>
      <c r="G287" t="s">
        <v>90</v>
      </c>
    </row>
    <row r="288" spans="1:7" x14ac:dyDescent="0.25">
      <c r="A288" t="s">
        <v>39</v>
      </c>
      <c r="B288" t="s">
        <v>155</v>
      </c>
      <c r="C288" t="s">
        <v>87</v>
      </c>
      <c r="D288">
        <v>22</v>
      </c>
      <c r="E288" t="s">
        <v>141</v>
      </c>
      <c r="F288" t="s">
        <v>89</v>
      </c>
      <c r="G288" t="s">
        <v>91</v>
      </c>
    </row>
    <row r="289" spans="1:7" hidden="1" x14ac:dyDescent="0.25">
      <c r="A289" t="s">
        <v>39</v>
      </c>
      <c r="B289" t="s">
        <v>155</v>
      </c>
      <c r="C289" t="s">
        <v>92</v>
      </c>
      <c r="D289">
        <v>23</v>
      </c>
      <c r="E289">
        <v>1</v>
      </c>
      <c r="F289" t="s">
        <v>88</v>
      </c>
      <c r="G289" t="s">
        <v>93</v>
      </c>
    </row>
    <row r="290" spans="1:7" hidden="1" x14ac:dyDescent="0.25">
      <c r="A290" t="s">
        <v>39</v>
      </c>
      <c r="B290" t="s">
        <v>154</v>
      </c>
      <c r="C290" t="s">
        <v>59</v>
      </c>
      <c r="D290">
        <v>0</v>
      </c>
      <c r="E290" t="s">
        <v>121</v>
      </c>
      <c r="F290" t="s">
        <v>43</v>
      </c>
      <c r="G290" t="s">
        <v>73</v>
      </c>
    </row>
    <row r="291" spans="1:7" hidden="1" x14ac:dyDescent="0.25">
      <c r="A291" t="s">
        <v>39</v>
      </c>
      <c r="B291" t="s">
        <v>154</v>
      </c>
      <c r="C291" t="s">
        <v>63</v>
      </c>
      <c r="D291">
        <v>1</v>
      </c>
      <c r="E291" t="s">
        <v>122</v>
      </c>
      <c r="F291" t="s">
        <v>43</v>
      </c>
      <c r="G291" t="s">
        <v>74</v>
      </c>
    </row>
    <row r="292" spans="1:7" hidden="1" x14ac:dyDescent="0.25">
      <c r="A292" t="s">
        <v>39</v>
      </c>
      <c r="B292" t="s">
        <v>154</v>
      </c>
      <c r="C292" t="s">
        <v>54</v>
      </c>
      <c r="D292">
        <v>2</v>
      </c>
      <c r="E292" t="s">
        <v>123</v>
      </c>
      <c r="F292" t="s">
        <v>43</v>
      </c>
      <c r="G292" t="s">
        <v>75</v>
      </c>
    </row>
    <row r="293" spans="1:7" hidden="1" x14ac:dyDescent="0.25">
      <c r="A293" t="s">
        <v>39</v>
      </c>
      <c r="B293" t="s">
        <v>154</v>
      </c>
      <c r="C293" t="s">
        <v>55</v>
      </c>
      <c r="D293">
        <v>3</v>
      </c>
      <c r="E293" t="s">
        <v>123</v>
      </c>
      <c r="F293" t="s">
        <v>43</v>
      </c>
      <c r="G293" t="s">
        <v>76</v>
      </c>
    </row>
    <row r="294" spans="1:7" hidden="1" x14ac:dyDescent="0.25">
      <c r="A294" t="s">
        <v>39</v>
      </c>
      <c r="B294" t="s">
        <v>154</v>
      </c>
      <c r="C294" t="s">
        <v>56</v>
      </c>
      <c r="D294">
        <v>4</v>
      </c>
      <c r="E294" t="s">
        <v>121</v>
      </c>
      <c r="F294" t="s">
        <v>43</v>
      </c>
      <c r="G294" t="s">
        <v>77</v>
      </c>
    </row>
    <row r="295" spans="1:7" hidden="1" x14ac:dyDescent="0.25">
      <c r="A295" t="s">
        <v>39</v>
      </c>
      <c r="B295" t="s">
        <v>154</v>
      </c>
      <c r="C295" t="s">
        <v>64</v>
      </c>
      <c r="D295">
        <v>5</v>
      </c>
      <c r="E295" t="s">
        <v>126</v>
      </c>
      <c r="F295" t="s">
        <v>41</v>
      </c>
      <c r="G295" t="s">
        <v>85</v>
      </c>
    </row>
    <row r="296" spans="1:7" hidden="1" x14ac:dyDescent="0.25">
      <c r="A296" t="s">
        <v>39</v>
      </c>
      <c r="B296" t="s">
        <v>154</v>
      </c>
      <c r="C296" t="s">
        <v>61</v>
      </c>
      <c r="D296">
        <v>6</v>
      </c>
      <c r="E296" t="s">
        <v>127</v>
      </c>
      <c r="F296" t="s">
        <v>42</v>
      </c>
      <c r="G296" t="s">
        <v>78</v>
      </c>
    </row>
    <row r="297" spans="1:7" hidden="1" x14ac:dyDescent="0.25">
      <c r="A297" t="s">
        <v>39</v>
      </c>
      <c r="B297" t="s">
        <v>154</v>
      </c>
      <c r="C297" t="s">
        <v>62</v>
      </c>
      <c r="D297">
        <v>7</v>
      </c>
      <c r="E297">
        <v>6</v>
      </c>
      <c r="F297" t="s">
        <v>71</v>
      </c>
      <c r="G297" t="s">
        <v>79</v>
      </c>
    </row>
    <row r="298" spans="1:7" hidden="1" x14ac:dyDescent="0.25">
      <c r="A298" t="s">
        <v>39</v>
      </c>
      <c r="B298" t="s">
        <v>154</v>
      </c>
      <c r="C298" t="s">
        <v>65</v>
      </c>
      <c r="D298">
        <v>8</v>
      </c>
      <c r="E298" t="s">
        <v>128</v>
      </c>
      <c r="F298" t="s">
        <v>42</v>
      </c>
      <c r="G298" t="s">
        <v>84</v>
      </c>
    </row>
    <row r="299" spans="1:7" hidden="1" x14ac:dyDescent="0.25">
      <c r="A299" t="s">
        <v>39</v>
      </c>
      <c r="B299" t="s">
        <v>154</v>
      </c>
      <c r="C299" t="s">
        <v>58</v>
      </c>
      <c r="D299">
        <v>9</v>
      </c>
      <c r="E299" t="s">
        <v>119</v>
      </c>
      <c r="F299" t="s">
        <v>43</v>
      </c>
      <c r="G299" t="s">
        <v>117</v>
      </c>
    </row>
    <row r="300" spans="1:7" hidden="1" x14ac:dyDescent="0.25">
      <c r="A300" t="s">
        <v>39</v>
      </c>
      <c r="B300" t="s">
        <v>154</v>
      </c>
      <c r="C300" t="s">
        <v>60</v>
      </c>
      <c r="D300">
        <v>10</v>
      </c>
      <c r="E300" t="s">
        <v>119</v>
      </c>
      <c r="F300" t="s">
        <v>43</v>
      </c>
      <c r="G300" t="s">
        <v>118</v>
      </c>
    </row>
    <row r="301" spans="1:7" hidden="1" x14ac:dyDescent="0.25">
      <c r="A301" t="s">
        <v>39</v>
      </c>
      <c r="B301" t="s">
        <v>154</v>
      </c>
      <c r="C301" t="s">
        <v>57</v>
      </c>
      <c r="D301">
        <v>11</v>
      </c>
      <c r="E301" t="s">
        <v>119</v>
      </c>
      <c r="F301" t="s">
        <v>43</v>
      </c>
      <c r="G301" t="s">
        <v>80</v>
      </c>
    </row>
    <row r="302" spans="1:7" hidden="1" x14ac:dyDescent="0.25">
      <c r="A302" t="s">
        <v>39</v>
      </c>
      <c r="B302" t="s">
        <v>154</v>
      </c>
      <c r="C302" t="s">
        <v>40</v>
      </c>
      <c r="D302">
        <v>12</v>
      </c>
      <c r="E302" t="s">
        <v>124</v>
      </c>
      <c r="F302" t="s">
        <v>43</v>
      </c>
      <c r="G302" t="s">
        <v>81</v>
      </c>
    </row>
    <row r="303" spans="1:7" hidden="1" x14ac:dyDescent="0.25">
      <c r="A303" t="s">
        <v>39</v>
      </c>
      <c r="B303" t="s">
        <v>154</v>
      </c>
      <c r="C303" t="s">
        <v>70</v>
      </c>
      <c r="D303">
        <v>13</v>
      </c>
      <c r="E303" t="s">
        <v>125</v>
      </c>
      <c r="F303" t="s">
        <v>44</v>
      </c>
      <c r="G303" t="s">
        <v>82</v>
      </c>
    </row>
    <row r="304" spans="1:7" hidden="1" x14ac:dyDescent="0.25">
      <c r="A304" t="s">
        <v>39</v>
      </c>
      <c r="B304" t="s">
        <v>154</v>
      </c>
      <c r="C304" t="s">
        <v>45</v>
      </c>
      <c r="D304">
        <v>14</v>
      </c>
      <c r="E304">
        <v>6</v>
      </c>
      <c r="F304" t="s">
        <v>71</v>
      </c>
      <c r="G304" t="s">
        <v>46</v>
      </c>
    </row>
    <row r="305" spans="1:7" hidden="1" x14ac:dyDescent="0.25">
      <c r="A305" t="s">
        <v>39</v>
      </c>
      <c r="B305" t="s">
        <v>154</v>
      </c>
      <c r="C305" t="s">
        <v>53</v>
      </c>
      <c r="D305">
        <v>15</v>
      </c>
      <c r="E305">
        <v>5</v>
      </c>
      <c r="F305" t="s">
        <v>71</v>
      </c>
      <c r="G305" t="s">
        <v>83</v>
      </c>
    </row>
    <row r="306" spans="1:7" hidden="1" x14ac:dyDescent="0.25">
      <c r="A306" t="s">
        <v>39</v>
      </c>
      <c r="B306" t="s">
        <v>154</v>
      </c>
      <c r="C306" t="s">
        <v>47</v>
      </c>
      <c r="D306">
        <v>16</v>
      </c>
      <c r="E306" t="s">
        <v>135</v>
      </c>
      <c r="F306" t="s">
        <v>71</v>
      </c>
      <c r="G306" t="s">
        <v>51</v>
      </c>
    </row>
    <row r="307" spans="1:7" hidden="1" x14ac:dyDescent="0.25">
      <c r="A307" t="s">
        <v>39</v>
      </c>
      <c r="B307" t="s">
        <v>154</v>
      </c>
      <c r="C307" t="s">
        <v>48</v>
      </c>
      <c r="D307">
        <v>17</v>
      </c>
      <c r="E307" t="s">
        <v>135</v>
      </c>
      <c r="F307" t="s">
        <v>71</v>
      </c>
      <c r="G307" t="s">
        <v>50</v>
      </c>
    </row>
    <row r="308" spans="1:7" hidden="1" x14ac:dyDescent="0.25">
      <c r="A308" t="s">
        <v>39</v>
      </c>
      <c r="B308" t="s">
        <v>154</v>
      </c>
      <c r="C308" t="s">
        <v>49</v>
      </c>
      <c r="D308">
        <v>18</v>
      </c>
      <c r="E308" t="s">
        <v>135</v>
      </c>
      <c r="F308" t="s">
        <v>71</v>
      </c>
      <c r="G308" t="s">
        <v>52</v>
      </c>
    </row>
    <row r="309" spans="1:7" hidden="1" x14ac:dyDescent="0.25">
      <c r="A309" t="s">
        <v>39</v>
      </c>
      <c r="B309" t="s">
        <v>154</v>
      </c>
      <c r="C309" t="s">
        <v>68</v>
      </c>
      <c r="D309">
        <v>19</v>
      </c>
      <c r="E309">
        <v>250000000</v>
      </c>
      <c r="F309" t="s">
        <v>72</v>
      </c>
      <c r="G309" t="s">
        <v>66</v>
      </c>
    </row>
    <row r="310" spans="1:7" hidden="1" x14ac:dyDescent="0.25">
      <c r="A310" t="s">
        <v>39</v>
      </c>
      <c r="B310" t="s">
        <v>154</v>
      </c>
      <c r="C310" t="s">
        <v>69</v>
      </c>
      <c r="D310">
        <v>20</v>
      </c>
      <c r="E310">
        <v>150000000</v>
      </c>
      <c r="F310" t="s">
        <v>72</v>
      </c>
      <c r="G310" t="s">
        <v>67</v>
      </c>
    </row>
    <row r="311" spans="1:7" x14ac:dyDescent="0.25">
      <c r="A311" t="s">
        <v>39</v>
      </c>
      <c r="B311" t="s">
        <v>154</v>
      </c>
      <c r="C311" t="s">
        <v>86</v>
      </c>
      <c r="D311">
        <v>21</v>
      </c>
      <c r="E311" t="s">
        <v>140</v>
      </c>
      <c r="F311" t="s">
        <v>88</v>
      </c>
      <c r="G311" t="s">
        <v>90</v>
      </c>
    </row>
    <row r="312" spans="1:7" x14ac:dyDescent="0.25">
      <c r="A312" t="s">
        <v>39</v>
      </c>
      <c r="B312" t="s">
        <v>154</v>
      </c>
      <c r="C312" t="s">
        <v>87</v>
      </c>
      <c r="D312">
        <v>22</v>
      </c>
      <c r="E312" t="s">
        <v>141</v>
      </c>
      <c r="F312" t="s">
        <v>89</v>
      </c>
      <c r="G312" t="s">
        <v>91</v>
      </c>
    </row>
    <row r="313" spans="1:7" hidden="1" x14ac:dyDescent="0.25">
      <c r="A313" t="s">
        <v>39</v>
      </c>
      <c r="B313" t="s">
        <v>154</v>
      </c>
      <c r="C313" t="s">
        <v>92</v>
      </c>
      <c r="D313">
        <v>23</v>
      </c>
      <c r="E313">
        <v>1</v>
      </c>
      <c r="F313" t="s">
        <v>88</v>
      </c>
      <c r="G313" t="s">
        <v>93</v>
      </c>
    </row>
  </sheetData>
  <autoFilter ref="A1:G313" xr:uid="{9375A35C-8A58-4D70-9436-2E641DE51D25}">
    <filterColumn colId="2">
      <filters>
        <filter val="om_fixed"/>
        <filter val="om_variable"/>
      </filters>
    </filterColumn>
  </autoFilter>
  <sortState xmlns:xlrd2="http://schemas.microsoft.com/office/spreadsheetml/2017/richdata2" ref="A2:H162">
    <sortCondition ref="A2:A162"/>
    <sortCondition ref="B2:B162"/>
    <sortCondition ref="D2:D162"/>
  </sortState>
  <pageMargins left="0.7" right="0.7" top="0.75" bottom="0.75" header="0.3" footer="0.3"/>
  <pageSetup orientation="portrait" horizontalDpi="90" verticalDpi="9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21A62-7A7F-4754-940E-DE21752714F2}">
  <dimension ref="A1:E9"/>
  <sheetViews>
    <sheetView workbookViewId="0">
      <selection activeCell="D19" sqref="D19"/>
    </sheetView>
  </sheetViews>
  <sheetFormatPr defaultRowHeight="15" x14ac:dyDescent="0.25"/>
  <cols>
    <col min="1" max="1" width="14" bestFit="1" customWidth="1"/>
    <col min="3" max="3" width="16.5703125" bestFit="1" customWidth="1"/>
    <col min="4" max="4" width="28" bestFit="1" customWidth="1"/>
  </cols>
  <sheetData>
    <row r="1" spans="1:5" x14ac:dyDescent="0.25">
      <c r="A1" t="s">
        <v>4</v>
      </c>
      <c r="B1" t="s">
        <v>27</v>
      </c>
      <c r="C1" t="s">
        <v>6</v>
      </c>
      <c r="D1" t="s">
        <v>15</v>
      </c>
      <c r="E1" t="s">
        <v>3</v>
      </c>
    </row>
    <row r="2" spans="1:5" x14ac:dyDescent="0.25">
      <c r="A2" t="s">
        <v>39</v>
      </c>
      <c r="B2" t="s">
        <v>28</v>
      </c>
      <c r="C2" t="s">
        <v>28</v>
      </c>
      <c r="D2" t="s">
        <v>72</v>
      </c>
    </row>
    <row r="3" spans="1:5" x14ac:dyDescent="0.25">
      <c r="A3" t="s">
        <v>39</v>
      </c>
      <c r="B3" t="s">
        <v>11</v>
      </c>
      <c r="C3" t="s">
        <v>97</v>
      </c>
      <c r="D3" t="s">
        <v>131</v>
      </c>
    </row>
    <row r="4" spans="1:5" x14ac:dyDescent="0.25">
      <c r="A4" t="s">
        <v>39</v>
      </c>
      <c r="B4" t="s">
        <v>12</v>
      </c>
      <c r="C4" t="s">
        <v>98</v>
      </c>
      <c r="D4" t="s">
        <v>44</v>
      </c>
    </row>
    <row r="5" spans="1:5" x14ac:dyDescent="0.25">
      <c r="A5" t="s">
        <v>39</v>
      </c>
      <c r="B5" t="s">
        <v>12</v>
      </c>
      <c r="C5" t="s">
        <v>99</v>
      </c>
      <c r="D5" t="s">
        <v>130</v>
      </c>
    </row>
    <row r="6" spans="1:5" x14ac:dyDescent="0.25">
      <c r="A6" t="s">
        <v>39</v>
      </c>
      <c r="B6" t="s">
        <v>12</v>
      </c>
      <c r="C6" t="s">
        <v>100</v>
      </c>
      <c r="D6" t="s">
        <v>130</v>
      </c>
    </row>
    <row r="7" spans="1:5" x14ac:dyDescent="0.25">
      <c r="A7" t="s">
        <v>39</v>
      </c>
      <c r="B7" t="s">
        <v>12</v>
      </c>
      <c r="C7" t="s">
        <v>132</v>
      </c>
      <c r="D7" t="s">
        <v>72</v>
      </c>
    </row>
    <row r="8" spans="1:5" x14ac:dyDescent="0.25">
      <c r="A8" t="s">
        <v>39</v>
      </c>
      <c r="B8" t="s">
        <v>12</v>
      </c>
      <c r="C8" t="s">
        <v>157</v>
      </c>
    </row>
    <row r="9" spans="1:5" x14ac:dyDescent="0.25">
      <c r="A9" t="s">
        <v>39</v>
      </c>
      <c r="B9" t="s">
        <v>12</v>
      </c>
      <c r="C9" t="s">
        <v>158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E1871-0EA4-4433-AFC4-28BCC91530B9}">
  <dimension ref="A1:D14"/>
  <sheetViews>
    <sheetView workbookViewId="0">
      <selection activeCell="F11" sqref="F11"/>
    </sheetView>
  </sheetViews>
  <sheetFormatPr defaultRowHeight="15" x14ac:dyDescent="0.25"/>
  <cols>
    <col min="1" max="1" width="25.7109375" bestFit="1" customWidth="1"/>
    <col min="2" max="2" width="30.140625" bestFit="1" customWidth="1"/>
    <col min="3" max="3" width="8.140625" bestFit="1" customWidth="1"/>
    <col min="4" max="4" width="6.28515625" bestFit="1" customWidth="1"/>
  </cols>
  <sheetData>
    <row r="1" spans="1:4" x14ac:dyDescent="0.25">
      <c r="A1" t="s">
        <v>0</v>
      </c>
      <c r="B1" t="s">
        <v>1</v>
      </c>
      <c r="C1" t="s">
        <v>2</v>
      </c>
      <c r="D1" t="s">
        <v>3</v>
      </c>
    </row>
    <row r="2" spans="1:4" x14ac:dyDescent="0.25">
      <c r="A2" t="s">
        <v>144</v>
      </c>
      <c r="B2" t="s">
        <v>145</v>
      </c>
      <c r="C2">
        <v>1</v>
      </c>
    </row>
    <row r="3" spans="1:4" x14ac:dyDescent="0.25">
      <c r="A3" t="s">
        <v>144</v>
      </c>
      <c r="B3" t="s">
        <v>146</v>
      </c>
      <c r="C3">
        <v>2</v>
      </c>
    </row>
    <row r="4" spans="1:4" x14ac:dyDescent="0.25">
      <c r="A4" t="s">
        <v>144</v>
      </c>
      <c r="B4" t="s">
        <v>147</v>
      </c>
      <c r="C4">
        <v>3</v>
      </c>
    </row>
    <row r="5" spans="1:4" x14ac:dyDescent="0.25">
      <c r="A5" t="s">
        <v>142</v>
      </c>
      <c r="B5" t="s">
        <v>137</v>
      </c>
      <c r="C5">
        <v>4</v>
      </c>
    </row>
    <row r="6" spans="1:4" x14ac:dyDescent="0.25">
      <c r="A6" t="s">
        <v>142</v>
      </c>
      <c r="B6" t="s">
        <v>139</v>
      </c>
      <c r="C6">
        <v>5</v>
      </c>
    </row>
    <row r="7" spans="1:4" x14ac:dyDescent="0.25">
      <c r="A7" t="s">
        <v>142</v>
      </c>
      <c r="B7" t="s">
        <v>153</v>
      </c>
      <c r="C7">
        <v>6</v>
      </c>
    </row>
    <row r="8" spans="1:4" x14ac:dyDescent="0.25">
      <c r="A8" t="s">
        <v>142</v>
      </c>
      <c r="B8" t="s">
        <v>156</v>
      </c>
      <c r="C8">
        <v>7</v>
      </c>
    </row>
    <row r="9" spans="1:4" x14ac:dyDescent="0.25">
      <c r="A9" t="s">
        <v>142</v>
      </c>
      <c r="B9" t="s">
        <v>155</v>
      </c>
      <c r="C9">
        <v>8</v>
      </c>
    </row>
    <row r="10" spans="1:4" x14ac:dyDescent="0.25">
      <c r="A10" t="s">
        <v>142</v>
      </c>
      <c r="B10" t="s">
        <v>154</v>
      </c>
      <c r="C10">
        <v>9</v>
      </c>
    </row>
    <row r="11" spans="1:4" x14ac:dyDescent="0.25">
      <c r="A11" t="s">
        <v>142</v>
      </c>
      <c r="B11" t="s">
        <v>133</v>
      </c>
      <c r="C11">
        <v>10</v>
      </c>
    </row>
    <row r="12" spans="1:4" x14ac:dyDescent="0.25">
      <c r="A12" t="s">
        <v>143</v>
      </c>
      <c r="B12" t="s">
        <v>136</v>
      </c>
      <c r="C12">
        <v>11</v>
      </c>
    </row>
    <row r="13" spans="1:4" x14ac:dyDescent="0.25">
      <c r="A13" t="s">
        <v>143</v>
      </c>
      <c r="B13" t="s">
        <v>138</v>
      </c>
      <c r="C13">
        <v>12</v>
      </c>
    </row>
    <row r="14" spans="1:4" x14ac:dyDescent="0.25">
      <c r="A14" t="s">
        <v>143</v>
      </c>
      <c r="B14" t="s">
        <v>134</v>
      </c>
      <c r="C14">
        <v>13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18B56-38BD-4E5D-86D7-782D60429334}">
  <dimension ref="A1:D14"/>
  <sheetViews>
    <sheetView zoomScale="130" zoomScaleNormal="130" workbookViewId="0">
      <selection activeCell="C7" sqref="C7"/>
    </sheetView>
  </sheetViews>
  <sheetFormatPr defaultRowHeight="15" x14ac:dyDescent="0.25"/>
  <cols>
    <col min="1" max="1" width="32.7109375" bestFit="1" customWidth="1"/>
    <col min="2" max="2" width="25.7109375" bestFit="1" customWidth="1"/>
    <col min="3" max="3" width="30.140625" bestFit="1" customWidth="1"/>
    <col min="4" max="4" width="6.28515625" bestFit="1" customWidth="1"/>
  </cols>
  <sheetData>
    <row r="1" spans="1:4" x14ac:dyDescent="0.25">
      <c r="A1" t="s">
        <v>16</v>
      </c>
      <c r="B1" t="s">
        <v>0</v>
      </c>
      <c r="C1" t="s">
        <v>1</v>
      </c>
      <c r="D1" t="s">
        <v>3</v>
      </c>
    </row>
    <row r="2" spans="1:4" x14ac:dyDescent="0.25">
      <c r="A2" t="s">
        <v>148</v>
      </c>
      <c r="B2" t="s">
        <v>144</v>
      </c>
      <c r="C2" t="s">
        <v>145</v>
      </c>
    </row>
    <row r="3" spans="1:4" x14ac:dyDescent="0.25">
      <c r="A3" t="s">
        <v>148</v>
      </c>
      <c r="B3" t="s">
        <v>144</v>
      </c>
      <c r="C3" t="s">
        <v>146</v>
      </c>
    </row>
    <row r="4" spans="1:4" x14ac:dyDescent="0.25">
      <c r="A4" t="s">
        <v>148</v>
      </c>
      <c r="B4" t="s">
        <v>144</v>
      </c>
      <c r="C4" t="s">
        <v>147</v>
      </c>
    </row>
    <row r="5" spans="1:4" x14ac:dyDescent="0.25">
      <c r="A5" t="s">
        <v>149</v>
      </c>
      <c r="B5" t="s">
        <v>142</v>
      </c>
      <c r="C5" t="s">
        <v>137</v>
      </c>
    </row>
    <row r="6" spans="1:4" x14ac:dyDescent="0.25">
      <c r="A6" t="s">
        <v>149</v>
      </c>
      <c r="B6" t="s">
        <v>142</v>
      </c>
      <c r="C6" t="s">
        <v>139</v>
      </c>
    </row>
    <row r="7" spans="1:4" x14ac:dyDescent="0.25">
      <c r="A7" t="s">
        <v>149</v>
      </c>
      <c r="B7" t="s">
        <v>142</v>
      </c>
      <c r="C7" t="s">
        <v>133</v>
      </c>
    </row>
    <row r="8" spans="1:4" x14ac:dyDescent="0.25">
      <c r="A8" t="s">
        <v>149</v>
      </c>
      <c r="B8" t="s">
        <v>142</v>
      </c>
      <c r="C8" t="s">
        <v>153</v>
      </c>
    </row>
    <row r="9" spans="1:4" x14ac:dyDescent="0.25">
      <c r="A9" t="s">
        <v>149</v>
      </c>
      <c r="B9" t="s">
        <v>142</v>
      </c>
      <c r="C9" t="s">
        <v>156</v>
      </c>
    </row>
    <row r="10" spans="1:4" x14ac:dyDescent="0.25">
      <c r="A10" t="s">
        <v>149</v>
      </c>
      <c r="B10" t="s">
        <v>142</v>
      </c>
      <c r="C10" t="s">
        <v>155</v>
      </c>
    </row>
    <row r="11" spans="1:4" x14ac:dyDescent="0.25">
      <c r="A11" t="s">
        <v>149</v>
      </c>
      <c r="B11" t="s">
        <v>142</v>
      </c>
      <c r="C11" t="s">
        <v>154</v>
      </c>
    </row>
    <row r="12" spans="1:4" x14ac:dyDescent="0.25">
      <c r="A12" t="s">
        <v>150</v>
      </c>
      <c r="B12" t="s">
        <v>143</v>
      </c>
      <c r="C12" t="s">
        <v>136</v>
      </c>
    </row>
    <row r="13" spans="1:4" x14ac:dyDescent="0.25">
      <c r="A13" t="s">
        <v>150</v>
      </c>
      <c r="B13" t="s">
        <v>143</v>
      </c>
      <c r="C13" t="s">
        <v>138</v>
      </c>
    </row>
    <row r="14" spans="1:4" x14ac:dyDescent="0.25">
      <c r="A14" t="s">
        <v>150</v>
      </c>
      <c r="B14" t="s">
        <v>143</v>
      </c>
      <c r="C14" t="s">
        <v>134</v>
      </c>
    </row>
  </sheetData>
  <pageMargins left="0.7" right="0.7" top="0.75" bottom="0.75" header="0.3" footer="0.3"/>
  <pageSetup orientation="portrait" horizontalDpi="90" verticalDpi="9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2AF86-8C2B-4B1B-B156-ACEC1977F15B}">
  <dimension ref="A1:I24"/>
  <sheetViews>
    <sheetView zoomScale="130" zoomScaleNormal="130" workbookViewId="0">
      <selection activeCell="I25" sqref="I25"/>
    </sheetView>
  </sheetViews>
  <sheetFormatPr defaultRowHeight="15" x14ac:dyDescent="0.25"/>
  <cols>
    <col min="1" max="1" width="23.42578125" bestFit="1" customWidth="1"/>
    <col min="2" max="2" width="8.85546875" bestFit="1" customWidth="1"/>
    <col min="3" max="3" width="15.5703125" bestFit="1" customWidth="1"/>
    <col min="4" max="4" width="29" bestFit="1" customWidth="1"/>
    <col min="5" max="5" width="5" bestFit="1" customWidth="1"/>
    <col min="6" max="6" width="7" bestFit="1" customWidth="1"/>
    <col min="7" max="7" width="12" bestFit="1" customWidth="1"/>
    <col min="9" max="9" width="50.5703125" bestFit="1" customWidth="1"/>
  </cols>
  <sheetData>
    <row r="1" spans="1:9" x14ac:dyDescent="0.25">
      <c r="A1" t="s">
        <v>13</v>
      </c>
      <c r="B1" t="s">
        <v>102</v>
      </c>
      <c r="C1" t="s">
        <v>103</v>
      </c>
      <c r="D1" t="s">
        <v>104</v>
      </c>
      <c r="E1" t="s">
        <v>105</v>
      </c>
      <c r="F1" t="s">
        <v>106</v>
      </c>
      <c r="G1" t="s">
        <v>107</v>
      </c>
      <c r="I1" t="s">
        <v>120</v>
      </c>
    </row>
    <row r="2" spans="1:9" x14ac:dyDescent="0.25">
      <c r="A2" t="s">
        <v>108</v>
      </c>
      <c r="B2">
        <v>0</v>
      </c>
      <c r="C2">
        <v>2</v>
      </c>
      <c r="D2">
        <v>1</v>
      </c>
      <c r="E2">
        <f>B2</f>
        <v>0</v>
      </c>
      <c r="F2">
        <f>C2-B2</f>
        <v>2</v>
      </c>
      <c r="G2">
        <f>(D2-E2)/F2</f>
        <v>0.5</v>
      </c>
      <c r="I2" t="str">
        <f>_xlfn.CONCAT("st.triang(c=",G2,", loc=",E2,", scale=",F2,")")</f>
        <v>st.triang(c=0.5, loc=0, scale=2)</v>
      </c>
    </row>
    <row r="3" spans="1:9" x14ac:dyDescent="0.25">
      <c r="A3" t="s">
        <v>109</v>
      </c>
      <c r="B3">
        <v>0</v>
      </c>
      <c r="C3">
        <v>1</v>
      </c>
      <c r="D3">
        <v>0.8</v>
      </c>
      <c r="E3">
        <f t="shared" ref="E3:E14" si="0">B3</f>
        <v>0</v>
      </c>
      <c r="F3">
        <f t="shared" ref="F3:F14" si="1">C3-B3</f>
        <v>1</v>
      </c>
      <c r="G3">
        <f t="shared" ref="G3:G14" si="2">(D3-E3)/F3</f>
        <v>0.8</v>
      </c>
      <c r="I3" t="str">
        <f t="shared" ref="I3:I16" si="3">_xlfn.CONCAT("st.triang(c=",G3,", loc=",E3,", scale=",F3,")")</f>
        <v>st.triang(c=0.8, loc=0, scale=1)</v>
      </c>
    </row>
    <row r="4" spans="1:9" x14ac:dyDescent="0.25">
      <c r="A4" t="s">
        <v>110</v>
      </c>
      <c r="B4">
        <v>0</v>
      </c>
      <c r="C4">
        <v>2</v>
      </c>
      <c r="D4">
        <v>0.5</v>
      </c>
      <c r="E4">
        <f t="shared" si="0"/>
        <v>0</v>
      </c>
      <c r="F4">
        <f t="shared" si="1"/>
        <v>2</v>
      </c>
      <c r="G4">
        <f t="shared" si="2"/>
        <v>0.25</v>
      </c>
      <c r="I4" t="str">
        <f t="shared" si="3"/>
        <v>st.triang(c=0.25, loc=0, scale=2)</v>
      </c>
    </row>
    <row r="5" spans="1:9" x14ac:dyDescent="0.25">
      <c r="A5" t="s">
        <v>111</v>
      </c>
      <c r="B5">
        <v>0</v>
      </c>
      <c r="C5">
        <v>2</v>
      </c>
      <c r="D5">
        <v>0.5</v>
      </c>
      <c r="E5">
        <f t="shared" si="0"/>
        <v>0</v>
      </c>
      <c r="F5">
        <f t="shared" si="1"/>
        <v>2</v>
      </c>
      <c r="G5">
        <f t="shared" si="2"/>
        <v>0.25</v>
      </c>
      <c r="I5" t="str">
        <f t="shared" si="3"/>
        <v>st.triang(c=0.25, loc=0, scale=2)</v>
      </c>
    </row>
    <row r="6" spans="1:9" x14ac:dyDescent="0.25">
      <c r="A6" t="s">
        <v>112</v>
      </c>
      <c r="B6">
        <v>0</v>
      </c>
      <c r="C6">
        <v>2</v>
      </c>
      <c r="D6">
        <v>1</v>
      </c>
      <c r="E6">
        <f t="shared" si="0"/>
        <v>0</v>
      </c>
      <c r="F6">
        <f t="shared" si="1"/>
        <v>2</v>
      </c>
      <c r="G6">
        <f t="shared" si="2"/>
        <v>0.5</v>
      </c>
      <c r="I6" t="str">
        <f t="shared" si="3"/>
        <v>st.triang(c=0.5, loc=0, scale=2)</v>
      </c>
    </row>
    <row r="7" spans="1:9" x14ac:dyDescent="0.25">
      <c r="A7" t="s">
        <v>113</v>
      </c>
      <c r="B7">
        <v>1000</v>
      </c>
      <c r="C7">
        <v>1000000</v>
      </c>
      <c r="D7">
        <v>22000</v>
      </c>
      <c r="E7">
        <f t="shared" si="0"/>
        <v>1000</v>
      </c>
      <c r="F7">
        <f t="shared" si="1"/>
        <v>999000</v>
      </c>
      <c r="G7">
        <f t="shared" si="2"/>
        <v>2.1021021021021023E-2</v>
      </c>
      <c r="I7" t="str">
        <f t="shared" si="3"/>
        <v>st.triang(c=0.021021021021021, loc=1000, scale=999000)</v>
      </c>
    </row>
    <row r="8" spans="1:9" x14ac:dyDescent="0.25">
      <c r="A8" t="s">
        <v>61</v>
      </c>
      <c r="B8">
        <v>0</v>
      </c>
      <c r="C8">
        <v>0.4</v>
      </c>
      <c r="D8">
        <v>0</v>
      </c>
      <c r="E8">
        <f t="shared" si="0"/>
        <v>0</v>
      </c>
      <c r="F8">
        <f t="shared" si="1"/>
        <v>0.4</v>
      </c>
      <c r="G8">
        <f t="shared" si="2"/>
        <v>0</v>
      </c>
      <c r="I8" t="str">
        <f t="shared" si="3"/>
        <v>st.triang(c=0, loc=0, scale=0.4)</v>
      </c>
    </row>
    <row r="9" spans="1:9" x14ac:dyDescent="0.25">
      <c r="A9" t="s">
        <v>114</v>
      </c>
      <c r="B9">
        <v>0</v>
      </c>
      <c r="C9">
        <v>0.15</v>
      </c>
      <c r="D9">
        <v>0.06</v>
      </c>
      <c r="E9">
        <f t="shared" si="0"/>
        <v>0</v>
      </c>
      <c r="F9">
        <f t="shared" si="1"/>
        <v>0.15</v>
      </c>
      <c r="G9">
        <f t="shared" si="2"/>
        <v>0.4</v>
      </c>
      <c r="I9" t="str">
        <f t="shared" si="3"/>
        <v>st.triang(c=0.4, loc=0, scale=0.15)</v>
      </c>
    </row>
    <row r="10" spans="1:9" x14ac:dyDescent="0.25">
      <c r="A10" t="s">
        <v>115</v>
      </c>
      <c r="B10">
        <v>0.7</v>
      </c>
      <c r="C10">
        <v>1</v>
      </c>
      <c r="D10">
        <v>0.8</v>
      </c>
      <c r="E10">
        <f t="shared" si="0"/>
        <v>0.7</v>
      </c>
      <c r="F10">
        <f t="shared" si="1"/>
        <v>0.30000000000000004</v>
      </c>
      <c r="G10">
        <f t="shared" si="2"/>
        <v>0.33333333333333359</v>
      </c>
      <c r="I10" t="str">
        <f t="shared" si="3"/>
        <v>st.triang(c=0.333333333333334, loc=0.7, scale=0.3)</v>
      </c>
    </row>
    <row r="11" spans="1:9" x14ac:dyDescent="0.25">
      <c r="A11" t="s">
        <v>116</v>
      </c>
      <c r="B11">
        <v>3</v>
      </c>
      <c r="C11">
        <v>24</v>
      </c>
      <c r="D11">
        <v>16</v>
      </c>
      <c r="E11">
        <f t="shared" si="0"/>
        <v>3</v>
      </c>
      <c r="F11">
        <f t="shared" si="1"/>
        <v>21</v>
      </c>
      <c r="G11">
        <f t="shared" si="2"/>
        <v>0.61904761904761907</v>
      </c>
      <c r="I11" t="str">
        <f t="shared" si="3"/>
        <v>st.triang(c=0.619047619047619, loc=3, scale=21)</v>
      </c>
    </row>
    <row r="12" spans="1:9" x14ac:dyDescent="0.25">
      <c r="A12" t="s">
        <v>47</v>
      </c>
      <c r="B12">
        <v>1</v>
      </c>
      <c r="C12">
        <v>6</v>
      </c>
      <c r="D12">
        <v>4</v>
      </c>
      <c r="E12">
        <f t="shared" si="0"/>
        <v>1</v>
      </c>
      <c r="F12">
        <f t="shared" si="1"/>
        <v>5</v>
      </c>
      <c r="G12">
        <f t="shared" si="2"/>
        <v>0.6</v>
      </c>
      <c r="I12" t="str">
        <f t="shared" si="3"/>
        <v>st.triang(c=0.6, loc=1, scale=5)</v>
      </c>
    </row>
    <row r="13" spans="1:9" x14ac:dyDescent="0.25">
      <c r="A13" t="s">
        <v>48</v>
      </c>
      <c r="B13">
        <v>1</v>
      </c>
      <c r="C13">
        <v>6</v>
      </c>
      <c r="D13">
        <v>4</v>
      </c>
      <c r="E13">
        <f t="shared" si="0"/>
        <v>1</v>
      </c>
      <c r="F13">
        <f t="shared" si="1"/>
        <v>5</v>
      </c>
      <c r="G13">
        <f t="shared" si="2"/>
        <v>0.6</v>
      </c>
      <c r="I13" t="str">
        <f t="shared" si="3"/>
        <v>st.triang(c=0.6, loc=1, scale=5)</v>
      </c>
    </row>
    <row r="14" spans="1:9" x14ac:dyDescent="0.25">
      <c r="A14" t="s">
        <v>49</v>
      </c>
      <c r="B14">
        <v>1</v>
      </c>
      <c r="C14">
        <v>6</v>
      </c>
      <c r="D14">
        <v>4</v>
      </c>
      <c r="E14">
        <f t="shared" si="0"/>
        <v>1</v>
      </c>
      <c r="F14">
        <f t="shared" si="1"/>
        <v>5</v>
      </c>
      <c r="G14">
        <f t="shared" si="2"/>
        <v>0.6</v>
      </c>
      <c r="I14" t="str">
        <f t="shared" si="3"/>
        <v>st.triang(c=0.6, loc=1, scale=5)</v>
      </c>
    </row>
    <row r="15" spans="1:9" x14ac:dyDescent="0.25">
      <c r="A15" t="s">
        <v>86</v>
      </c>
      <c r="B15">
        <f>3.25+6</f>
        <v>9.25</v>
      </c>
      <c r="C15">
        <f>9.5+7.5</f>
        <v>17</v>
      </c>
      <c r="D15">
        <f>6.25+6.75</f>
        <v>13</v>
      </c>
      <c r="E15">
        <f t="shared" ref="E15:E16" si="4">B15</f>
        <v>9.25</v>
      </c>
      <c r="F15">
        <f t="shared" ref="F15:F16" si="5">C15-B15</f>
        <v>7.75</v>
      </c>
      <c r="G15">
        <f t="shared" ref="G15:G16" si="6">(D15-E15)/F15</f>
        <v>0.4838709677419355</v>
      </c>
      <c r="I15" t="str">
        <f t="shared" si="3"/>
        <v>st.triang(c=0.483870967741935, loc=9.25, scale=7.75)</v>
      </c>
    </row>
    <row r="16" spans="1:9" x14ac:dyDescent="0.25">
      <c r="A16" t="s">
        <v>87</v>
      </c>
      <c r="B16">
        <v>154</v>
      </c>
      <c r="C16">
        <v>223</v>
      </c>
      <c r="D16">
        <v>179</v>
      </c>
      <c r="E16">
        <f t="shared" si="4"/>
        <v>154</v>
      </c>
      <c r="F16">
        <f t="shared" si="5"/>
        <v>69</v>
      </c>
      <c r="G16">
        <f t="shared" si="6"/>
        <v>0.36231884057971014</v>
      </c>
      <c r="I16" t="str">
        <f t="shared" si="3"/>
        <v>st.triang(c=0.36231884057971, loc=154, scale=69)</v>
      </c>
    </row>
    <row r="18" spans="1:9" x14ac:dyDescent="0.25">
      <c r="A18" t="s">
        <v>57</v>
      </c>
      <c r="I18" t="s">
        <v>119</v>
      </c>
    </row>
    <row r="19" spans="1:9" x14ac:dyDescent="0.25">
      <c r="A19" t="s">
        <v>58</v>
      </c>
      <c r="I19" t="s">
        <v>119</v>
      </c>
    </row>
    <row r="20" spans="1:9" x14ac:dyDescent="0.25">
      <c r="A20" t="s">
        <v>60</v>
      </c>
      <c r="I20" t="s">
        <v>119</v>
      </c>
    </row>
    <row r="24" spans="1:9" x14ac:dyDescent="0.25">
      <c r="A24" t="s">
        <v>53</v>
      </c>
      <c r="I24" t="s">
        <v>129</v>
      </c>
    </row>
  </sheetData>
  <pageMargins left="0.7" right="0.7" top="0.75" bottom="0.75" header="0.3" footer="0.3"/>
</worksheet>
</file>

<file path=docMetadata/LabelInfo.xml><?xml version="1.0" encoding="utf-8"?>
<clbl:labelList xmlns:clbl="http://schemas.microsoft.com/office/2020/mipLabelMetadata">
  <clbl:label id="{95965d95-ecc0-4720-b759-1f33c42ed7da}" enabled="1" method="Standard" siteId="{a0f29d7e-28cd-4f54-8442-7885aee7c08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indices</vt:lpstr>
      <vt:lpstr>metadata</vt:lpstr>
      <vt:lpstr>functions</vt:lpstr>
      <vt:lpstr>designs</vt:lpstr>
      <vt:lpstr>parameters</vt:lpstr>
      <vt:lpstr>results</vt:lpstr>
      <vt:lpstr>tranches</vt:lpstr>
      <vt:lpstr>investments</vt:lpstr>
      <vt:lpstr>distn_params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Rebecca Hanes</dc:creator>
  <cp:lastModifiedBy>Hanes, Rebecca</cp:lastModifiedBy>
  <dcterms:created xsi:type="dcterms:W3CDTF">2022-10-04T23:31:09Z</dcterms:created>
  <dcterms:modified xsi:type="dcterms:W3CDTF">2025-11-20T15:07:11Z</dcterms:modified>
</cp:coreProperties>
</file>