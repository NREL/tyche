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wright\Documents\GitHub\Tyche_development_temporary\src\technology\Pyrolysis\"/>
    </mc:Choice>
  </mc:AlternateContent>
  <xr:revisionPtr revIDLastSave="0" documentId="13_ncr:1_{8B9717AA-25BD-4ADD-999D-96B7A6120DD2}" xr6:coauthVersionLast="47" xr6:coauthVersionMax="47" xr10:uidLastSave="{00000000-0000-0000-0000-000000000000}"/>
  <bookViews>
    <workbookView xWindow="-110" yWindow="-110" windowWidth="19420" windowHeight="12220" xr2:uid="{021BDB00-52DC-4A4E-ACEA-9258FAE2C700}"/>
  </bookViews>
  <sheets>
    <sheet name="designs" sheetId="1" r:id="rId1"/>
    <sheet name="indices" sheetId="3" r:id="rId2"/>
    <sheet name="functions" sheetId="2" r:id="rId3"/>
    <sheet name="investments" sheetId="4" r:id="rId4"/>
    <sheet name="parameters" sheetId="5" r:id="rId5"/>
    <sheet name="results" sheetId="6" r:id="rId6"/>
    <sheet name="tranches" sheetId="7" r:id="rId7"/>
  </sheets>
  <definedNames>
    <definedName name="_xlnm._FilterDatabase" localSheetId="0" hidden="1">designs!$A$1:$G$1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" i="1" l="1"/>
  <c r="E11" i="1"/>
  <c r="E12" i="1"/>
  <c r="E13" i="1"/>
  <c r="E301" i="1"/>
  <c r="E277" i="1"/>
  <c r="E253" i="1"/>
  <c r="E229" i="1"/>
  <c r="E205" i="1"/>
  <c r="E181" i="1"/>
  <c r="E157" i="1"/>
  <c r="E133" i="1"/>
  <c r="E109" i="1"/>
  <c r="E85" i="1"/>
  <c r="E61" i="1"/>
  <c r="E37" i="1"/>
  <c r="E84" i="1"/>
  <c r="E83" i="1"/>
  <c r="E82" i="1"/>
  <c r="E180" i="1"/>
  <c r="E179" i="1"/>
  <c r="E178" i="1"/>
  <c r="E276" i="1"/>
  <c r="E275" i="1"/>
  <c r="E274" i="1"/>
  <c r="E36" i="1"/>
  <c r="E35" i="1"/>
  <c r="E34" i="1"/>
  <c r="E132" i="1"/>
  <c r="E131" i="1"/>
  <c r="E130" i="1"/>
  <c r="E228" i="1"/>
  <c r="E227" i="1"/>
  <c r="E226" i="1"/>
  <c r="E108" i="1"/>
  <c r="E107" i="1"/>
  <c r="E106" i="1"/>
  <c r="E204" i="1"/>
  <c r="E203" i="1"/>
  <c r="E202" i="1"/>
  <c r="E300" i="1"/>
  <c r="E299" i="1"/>
  <c r="E298" i="1"/>
  <c r="E60" i="1"/>
  <c r="E59" i="1"/>
  <c r="E58" i="1"/>
  <c r="E156" i="1"/>
  <c r="E155" i="1"/>
  <c r="E154" i="1"/>
  <c r="E252" i="1"/>
  <c r="E251" i="1"/>
  <c r="E250" i="1"/>
</calcChain>
</file>

<file path=xl/sharedStrings.xml><?xml version="1.0" encoding="utf-8"?>
<sst xmlns="http://schemas.openxmlformats.org/spreadsheetml/2006/main" count="2492" uniqueCount="116">
  <si>
    <t>Technology</t>
  </si>
  <si>
    <t>Variable</t>
  </si>
  <si>
    <t>Index</t>
  </si>
  <si>
    <t>Value</t>
  </si>
  <si>
    <t>Units</t>
  </si>
  <si>
    <t>Notes</t>
  </si>
  <si>
    <t>Input</t>
  </si>
  <si>
    <t>Input efficiency</t>
  </si>
  <si>
    <t>Output efficiency</t>
  </si>
  <si>
    <t>Lifetime</t>
  </si>
  <si>
    <t>Scale</t>
  </si>
  <si>
    <t>Input price</t>
  </si>
  <si>
    <t>Output price</t>
  </si>
  <si>
    <t>Style</t>
  </si>
  <si>
    <t>Model</t>
  </si>
  <si>
    <t>Capital</t>
  </si>
  <si>
    <t>Fixed</t>
  </si>
  <si>
    <t>Production</t>
  </si>
  <si>
    <t>Metrics</t>
  </si>
  <si>
    <t>numpy</t>
  </si>
  <si>
    <t>capital_cost</t>
  </si>
  <si>
    <t>fixed_cost</t>
  </si>
  <si>
    <t>production</t>
  </si>
  <si>
    <t>metrics</t>
  </si>
  <si>
    <t>Type</t>
  </si>
  <si>
    <t>Offset</t>
  </si>
  <si>
    <t>Description</t>
  </si>
  <si>
    <t>Output</t>
  </si>
  <si>
    <t>Metric</t>
  </si>
  <si>
    <t>Cost</t>
  </si>
  <si>
    <t>Jobs</t>
  </si>
  <si>
    <t>GHG</t>
  </si>
  <si>
    <t>Greenhouse gas emissions</t>
  </si>
  <si>
    <t>Investment</t>
  </si>
  <si>
    <t>Category</t>
  </si>
  <si>
    <t>Tranche</t>
  </si>
  <si>
    <t>Parameter</t>
  </si>
  <si>
    <t>Amount</t>
  </si>
  <si>
    <t>Base</t>
  </si>
  <si>
    <t>Jet fuel</t>
  </si>
  <si>
    <t>No progress</t>
  </si>
  <si>
    <t>Slow Progress</t>
  </si>
  <si>
    <t>conversion</t>
  </si>
  <si>
    <t>kg</t>
  </si>
  <si>
    <t>USD/kg</t>
  </si>
  <si>
    <t>job/kg</t>
  </si>
  <si>
    <t>gCO2e/kg</t>
  </si>
  <si>
    <t>jet fuel energy content</t>
  </si>
  <si>
    <t>ghg ef</t>
  </si>
  <si>
    <t>MJ/kg</t>
  </si>
  <si>
    <t>gco2eq./MJ</t>
  </si>
  <si>
    <t>job factor</t>
  </si>
  <si>
    <t>job</t>
  </si>
  <si>
    <t>Complete Plant</t>
  </si>
  <si>
    <t>unit</t>
  </si>
  <si>
    <t>st.triang(1, loc=46.5, scale=0.00001)</t>
  </si>
  <si>
    <t>Pyrolysis</t>
  </si>
  <si>
    <t>Biomass</t>
  </si>
  <si>
    <t>Steam</t>
  </si>
  <si>
    <t>Hydrogen</t>
  </si>
  <si>
    <t>Catalyst</t>
  </si>
  <si>
    <t>lb/hr</t>
  </si>
  <si>
    <t>unitless</t>
  </si>
  <si>
    <t>$/lb</t>
  </si>
  <si>
    <t>kg Jet Fuel/ kg Biomass</t>
  </si>
  <si>
    <t>Fast Pyrolysis</t>
  </si>
  <si>
    <t>Vapor Upgrading</t>
  </si>
  <si>
    <t>Condensation</t>
  </si>
  <si>
    <t>Product Separation</t>
  </si>
  <si>
    <t>BOS</t>
  </si>
  <si>
    <t>Gasoline</t>
  </si>
  <si>
    <t>Diesel</t>
  </si>
  <si>
    <t>Primary product</t>
  </si>
  <si>
    <t>Secondary product</t>
  </si>
  <si>
    <t>Slow FP R&amp;D</t>
  </si>
  <si>
    <t>Medium FP R&amp;D</t>
  </si>
  <si>
    <t>Fast FP R&amp;D</t>
  </si>
  <si>
    <t>Slow VU R&amp;D</t>
  </si>
  <si>
    <t>Medium VU R&amp;D</t>
  </si>
  <si>
    <t>Fast VU R&amp;D</t>
  </si>
  <si>
    <t>Slow Condensation R&amp;D</t>
  </si>
  <si>
    <t>Medium Condensation R&amp;D</t>
  </si>
  <si>
    <t>Fast Condensation R&amp;D</t>
  </si>
  <si>
    <t>Slow PS R&amp;D</t>
  </si>
  <si>
    <t>Medium PS R&amp;D</t>
  </si>
  <si>
    <t>Fast PS R&amp;D</t>
  </si>
  <si>
    <t>FP design</t>
  </si>
  <si>
    <t>VU design</t>
  </si>
  <si>
    <t>Condensation design</t>
  </si>
  <si>
    <t>PS design</t>
  </si>
  <si>
    <t>fp</t>
  </si>
  <si>
    <t>jet</t>
  </si>
  <si>
    <t>ghg</t>
  </si>
  <si>
    <t>vu</t>
  </si>
  <si>
    <t>con</t>
  </si>
  <si>
    <t>ps</t>
  </si>
  <si>
    <t>Jet_conversion</t>
  </si>
  <si>
    <t>diesel conversion</t>
  </si>
  <si>
    <t>gasoline conversion</t>
  </si>
  <si>
    <t>kg Diesel Fuel/ kg Biomass</t>
  </si>
  <si>
    <t>kg Gasoline Fuel/ kg Biomass</t>
  </si>
  <si>
    <t>R&amp;D CFP</t>
  </si>
  <si>
    <t>Medium Progress</t>
  </si>
  <si>
    <t>Fast Progress</t>
  </si>
  <si>
    <t>jobs</t>
  </si>
  <si>
    <t>R&amp;D CFP FP</t>
  </si>
  <si>
    <t>R&amp;D CFP VU</t>
  </si>
  <si>
    <t>R&amp;D CFP Condensation</t>
  </si>
  <si>
    <t>R&amp;D CFP PS</t>
  </si>
  <si>
    <t>bos</t>
  </si>
  <si>
    <t>st.triang(1, loc=46.5, scale=10)</t>
  </si>
  <si>
    <t>st.triang(0.5, 0.0, 0.001)</t>
  </si>
  <si>
    <t>st.triang(0.5, 0.3, 0.001)</t>
  </si>
  <si>
    <t>st.triang(0.5, 0.6, 0.001)</t>
  </si>
  <si>
    <t>years</t>
  </si>
  <si>
    <t>st.triang(0.3, 8.0, 0.1)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</si>
</sst>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1" fontId="0" fillId="0" borderId="0" xfId="0" applyNumberFormat="1"/>
    <xf numFmtId="0" fontId="0" fillId="2" borderId="0" xfId="0" applyFill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C47FA-A48E-4158-95EE-1019738EA2E7}">
  <dimension ref="A1:G313"/>
  <sheetViews>
    <sheetView tabSelected="1" topLeftCell="A43" zoomScale="115" zoomScaleNormal="115" workbookViewId="0">
      <selection activeCell="D54" sqref="D54"/>
    </sheetView>
  </sheetViews>
  <sheetFormatPr defaultColWidth="8.81640625" defaultRowHeight="14.5" x14ac:dyDescent="0.35"/>
  <cols>
    <col min="1" max="1" width="12.81640625" customWidth="1"/>
    <col min="2" max="2" width="18.81640625" customWidth="1"/>
    <col min="3" max="3" width="13.6328125" customWidth="1"/>
    <col min="4" max="4" width="15.453125" customWidth="1"/>
    <col min="5" max="5" width="34.6328125" customWidth="1"/>
  </cols>
  <sheetData>
    <row r="1" spans="1:7" x14ac:dyDescent="0.35">
      <c r="A1" t="s">
        <v>0</v>
      </c>
      <c r="B1" t="s">
        <v>35</v>
      </c>
      <c r="C1" t="s">
        <v>1</v>
      </c>
      <c r="D1" t="s">
        <v>2</v>
      </c>
      <c r="E1" t="s">
        <v>3</v>
      </c>
      <c r="F1" t="s">
        <v>4</v>
      </c>
      <c r="G1" t="s">
        <v>5</v>
      </c>
    </row>
    <row r="2" spans="1:7" x14ac:dyDescent="0.35">
      <c r="A2" t="s">
        <v>56</v>
      </c>
      <c r="B2" t="s">
        <v>38</v>
      </c>
      <c r="C2" t="s">
        <v>6</v>
      </c>
      <c r="D2" t="s">
        <v>57</v>
      </c>
      <c r="E2">
        <v>183718</v>
      </c>
      <c r="F2" t="s">
        <v>61</v>
      </c>
    </row>
    <row r="3" spans="1:7" x14ac:dyDescent="0.35">
      <c r="A3" t="s">
        <v>56</v>
      </c>
      <c r="B3" t="s">
        <v>38</v>
      </c>
      <c r="C3" t="s">
        <v>6</v>
      </c>
      <c r="D3" t="s">
        <v>59</v>
      </c>
      <c r="E3">
        <v>2471</v>
      </c>
      <c r="F3" t="s">
        <v>61</v>
      </c>
    </row>
    <row r="4" spans="1:7" x14ac:dyDescent="0.35">
      <c r="A4" t="s">
        <v>56</v>
      </c>
      <c r="B4" t="s">
        <v>38</v>
      </c>
      <c r="C4" t="s">
        <v>6</v>
      </c>
      <c r="D4" t="s">
        <v>58</v>
      </c>
      <c r="E4">
        <v>360</v>
      </c>
      <c r="F4" t="s">
        <v>61</v>
      </c>
    </row>
    <row r="5" spans="1:7" x14ac:dyDescent="0.35">
      <c r="A5" t="s">
        <v>56</v>
      </c>
      <c r="B5" t="s">
        <v>38</v>
      </c>
      <c r="C5" t="s">
        <v>6</v>
      </c>
      <c r="D5" t="s">
        <v>60</v>
      </c>
      <c r="E5">
        <v>183718</v>
      </c>
      <c r="F5" t="s">
        <v>61</v>
      </c>
    </row>
    <row r="6" spans="1:7" x14ac:dyDescent="0.35">
      <c r="A6" t="s">
        <v>56</v>
      </c>
      <c r="B6" t="s">
        <v>38</v>
      </c>
      <c r="C6" t="s">
        <v>7</v>
      </c>
      <c r="D6" t="s">
        <v>57</v>
      </c>
      <c r="E6">
        <v>1</v>
      </c>
      <c r="F6" t="s">
        <v>62</v>
      </c>
    </row>
    <row r="7" spans="1:7" x14ac:dyDescent="0.35">
      <c r="A7" t="s">
        <v>56</v>
      </c>
      <c r="B7" t="s">
        <v>38</v>
      </c>
      <c r="C7" t="s">
        <v>7</v>
      </c>
      <c r="D7" t="s">
        <v>59</v>
      </c>
      <c r="E7">
        <v>1</v>
      </c>
      <c r="F7" t="s">
        <v>62</v>
      </c>
    </row>
    <row r="8" spans="1:7" x14ac:dyDescent="0.35">
      <c r="A8" t="s">
        <v>56</v>
      </c>
      <c r="B8" t="s">
        <v>38</v>
      </c>
      <c r="C8" t="s">
        <v>7</v>
      </c>
      <c r="D8" t="s">
        <v>58</v>
      </c>
      <c r="E8">
        <v>1</v>
      </c>
      <c r="F8" t="s">
        <v>62</v>
      </c>
    </row>
    <row r="9" spans="1:7" x14ac:dyDescent="0.35">
      <c r="A9" t="s">
        <v>56</v>
      </c>
      <c r="B9" t="s">
        <v>38</v>
      </c>
      <c r="C9" t="s">
        <v>7</v>
      </c>
      <c r="D9" t="s">
        <v>60</v>
      </c>
      <c r="E9">
        <v>1</v>
      </c>
      <c r="F9" t="s">
        <v>62</v>
      </c>
    </row>
    <row r="10" spans="1:7" x14ac:dyDescent="0.35">
      <c r="A10" t="s">
        <v>56</v>
      </c>
      <c r="B10" t="s">
        <v>38</v>
      </c>
      <c r="C10" t="s">
        <v>11</v>
      </c>
      <c r="D10" t="s">
        <v>57</v>
      </c>
      <c r="E10">
        <f>114/1000</f>
        <v>0.114</v>
      </c>
      <c r="F10" t="s">
        <v>63</v>
      </c>
    </row>
    <row r="11" spans="1:7" x14ac:dyDescent="0.35">
      <c r="A11" t="s">
        <v>56</v>
      </c>
      <c r="B11" t="s">
        <v>38</v>
      </c>
      <c r="C11" t="s">
        <v>11</v>
      </c>
      <c r="D11" t="s">
        <v>59</v>
      </c>
      <c r="E11">
        <f>0.22/1000</f>
        <v>2.2000000000000001E-4</v>
      </c>
      <c r="F11" t="s">
        <v>63</v>
      </c>
    </row>
    <row r="12" spans="1:7" x14ac:dyDescent="0.35">
      <c r="A12" t="s">
        <v>56</v>
      </c>
      <c r="B12" t="s">
        <v>38</v>
      </c>
      <c r="C12" t="s">
        <v>11</v>
      </c>
      <c r="D12" t="s">
        <v>58</v>
      </c>
      <c r="E12">
        <f>0.22/1000</f>
        <v>2.2000000000000001E-4</v>
      </c>
      <c r="F12" t="s">
        <v>63</v>
      </c>
    </row>
    <row r="13" spans="1:7" x14ac:dyDescent="0.35">
      <c r="A13" t="s">
        <v>56</v>
      </c>
      <c r="B13" t="s">
        <v>38</v>
      </c>
      <c r="C13" t="s">
        <v>11</v>
      </c>
      <c r="D13" t="s">
        <v>60</v>
      </c>
      <c r="E13">
        <f>114/1000</f>
        <v>0.114</v>
      </c>
      <c r="F13" t="s">
        <v>63</v>
      </c>
    </row>
    <row r="14" spans="1:7" x14ac:dyDescent="0.35">
      <c r="A14" t="s">
        <v>56</v>
      </c>
      <c r="B14" t="s">
        <v>38</v>
      </c>
      <c r="C14" t="s">
        <v>9</v>
      </c>
      <c r="D14" t="s">
        <v>69</v>
      </c>
      <c r="E14" s="3" t="s">
        <v>115</v>
      </c>
      <c r="F14" t="s">
        <v>114</v>
      </c>
    </row>
    <row r="15" spans="1:7" x14ac:dyDescent="0.35">
      <c r="A15" t="s">
        <v>56</v>
      </c>
      <c r="B15" t="s">
        <v>38</v>
      </c>
      <c r="C15" t="s">
        <v>9</v>
      </c>
      <c r="D15" t="s">
        <v>67</v>
      </c>
      <c r="E15" s="3" t="s">
        <v>115</v>
      </c>
      <c r="F15" t="s">
        <v>114</v>
      </c>
    </row>
    <row r="16" spans="1:7" x14ac:dyDescent="0.35">
      <c r="A16" t="s">
        <v>56</v>
      </c>
      <c r="B16" t="s">
        <v>38</v>
      </c>
      <c r="C16" t="s">
        <v>9</v>
      </c>
      <c r="D16" t="s">
        <v>65</v>
      </c>
      <c r="E16" s="3" t="s">
        <v>115</v>
      </c>
      <c r="F16" t="s">
        <v>114</v>
      </c>
    </row>
    <row r="17" spans="1:6" x14ac:dyDescent="0.35">
      <c r="A17" t="s">
        <v>56</v>
      </c>
      <c r="B17" t="s">
        <v>38</v>
      </c>
      <c r="C17" t="s">
        <v>9</v>
      </c>
      <c r="D17" t="s">
        <v>68</v>
      </c>
      <c r="E17" s="3" t="s">
        <v>115</v>
      </c>
      <c r="F17" t="s">
        <v>114</v>
      </c>
    </row>
    <row r="18" spans="1:6" x14ac:dyDescent="0.35">
      <c r="A18" t="s">
        <v>56</v>
      </c>
      <c r="B18" t="s">
        <v>38</v>
      </c>
      <c r="C18" t="s">
        <v>9</v>
      </c>
      <c r="D18" t="s">
        <v>66</v>
      </c>
      <c r="E18" s="3" t="s">
        <v>115</v>
      </c>
      <c r="F18" t="s">
        <v>114</v>
      </c>
    </row>
    <row r="19" spans="1:6" x14ac:dyDescent="0.35">
      <c r="A19" t="s">
        <v>56</v>
      </c>
      <c r="B19" t="s">
        <v>38</v>
      </c>
      <c r="C19" t="s">
        <v>8</v>
      </c>
      <c r="D19" t="s">
        <v>39</v>
      </c>
      <c r="E19">
        <v>1</v>
      </c>
      <c r="F19" t="s">
        <v>54</v>
      </c>
    </row>
    <row r="20" spans="1:6" x14ac:dyDescent="0.35">
      <c r="A20" t="s">
        <v>56</v>
      </c>
      <c r="B20" t="s">
        <v>38</v>
      </c>
      <c r="C20" t="s">
        <v>8</v>
      </c>
      <c r="D20" t="s">
        <v>70</v>
      </c>
      <c r="E20">
        <v>1</v>
      </c>
      <c r="F20" t="s">
        <v>54</v>
      </c>
    </row>
    <row r="21" spans="1:6" x14ac:dyDescent="0.35">
      <c r="A21" t="s">
        <v>56</v>
      </c>
      <c r="B21" t="s">
        <v>38</v>
      </c>
      <c r="C21" t="s">
        <v>8</v>
      </c>
      <c r="D21" t="s">
        <v>71</v>
      </c>
      <c r="E21">
        <v>1</v>
      </c>
      <c r="F21" t="s">
        <v>54</v>
      </c>
    </row>
    <row r="22" spans="1:6" x14ac:dyDescent="0.35">
      <c r="A22" t="s">
        <v>56</v>
      </c>
      <c r="B22" t="s">
        <v>38</v>
      </c>
      <c r="C22" t="s">
        <v>12</v>
      </c>
      <c r="D22" t="s">
        <v>39</v>
      </c>
      <c r="E22">
        <v>4.41</v>
      </c>
      <c r="F22" t="s">
        <v>63</v>
      </c>
    </row>
    <row r="23" spans="1:6" x14ac:dyDescent="0.35">
      <c r="A23" t="s">
        <v>56</v>
      </c>
      <c r="B23" t="s">
        <v>38</v>
      </c>
      <c r="C23" t="s">
        <v>12</v>
      </c>
      <c r="D23" t="s">
        <v>70</v>
      </c>
      <c r="E23">
        <v>1</v>
      </c>
      <c r="F23" t="s">
        <v>63</v>
      </c>
    </row>
    <row r="24" spans="1:6" x14ac:dyDescent="0.35">
      <c r="A24" t="s">
        <v>56</v>
      </c>
      <c r="B24" t="s">
        <v>38</v>
      </c>
      <c r="C24" t="s">
        <v>12</v>
      </c>
      <c r="D24" t="s">
        <v>71</v>
      </c>
      <c r="E24">
        <v>1.03</v>
      </c>
      <c r="F24" t="s">
        <v>63</v>
      </c>
    </row>
    <row r="25" spans="1:6" x14ac:dyDescent="0.35">
      <c r="A25" t="s">
        <v>56</v>
      </c>
      <c r="B25" t="s">
        <v>38</v>
      </c>
      <c r="C25" t="s">
        <v>10</v>
      </c>
      <c r="D25" t="s">
        <v>53</v>
      </c>
      <c r="E25">
        <v>1</v>
      </c>
      <c r="F25" t="s">
        <v>54</v>
      </c>
    </row>
    <row r="26" spans="1:6" x14ac:dyDescent="0.35">
      <c r="A26" t="s">
        <v>56</v>
      </c>
      <c r="B26" t="s">
        <v>82</v>
      </c>
      <c r="C26" t="s">
        <v>6</v>
      </c>
      <c r="D26" t="s">
        <v>57</v>
      </c>
      <c r="E26">
        <v>183718</v>
      </c>
      <c r="F26" t="s">
        <v>61</v>
      </c>
    </row>
    <row r="27" spans="1:6" x14ac:dyDescent="0.35">
      <c r="A27" t="s">
        <v>56</v>
      </c>
      <c r="B27" t="s">
        <v>82</v>
      </c>
      <c r="C27" t="s">
        <v>6</v>
      </c>
      <c r="D27" t="s">
        <v>59</v>
      </c>
      <c r="E27">
        <v>2471</v>
      </c>
      <c r="F27" t="s">
        <v>61</v>
      </c>
    </row>
    <row r="28" spans="1:6" x14ac:dyDescent="0.35">
      <c r="A28" t="s">
        <v>56</v>
      </c>
      <c r="B28" t="s">
        <v>82</v>
      </c>
      <c r="C28" t="s">
        <v>6</v>
      </c>
      <c r="D28" t="s">
        <v>58</v>
      </c>
      <c r="E28">
        <v>360</v>
      </c>
      <c r="F28" t="s">
        <v>61</v>
      </c>
    </row>
    <row r="29" spans="1:6" x14ac:dyDescent="0.35">
      <c r="A29" t="s">
        <v>56</v>
      </c>
      <c r="B29" t="s">
        <v>82</v>
      </c>
      <c r="C29" t="s">
        <v>6</v>
      </c>
      <c r="D29" t="s">
        <v>60</v>
      </c>
      <c r="E29">
        <v>183718</v>
      </c>
      <c r="F29" t="s">
        <v>61</v>
      </c>
    </row>
    <row r="30" spans="1:6" x14ac:dyDescent="0.35">
      <c r="A30" t="s">
        <v>56</v>
      </c>
      <c r="B30" t="s">
        <v>82</v>
      </c>
      <c r="C30" t="s">
        <v>7</v>
      </c>
      <c r="D30" t="s">
        <v>57</v>
      </c>
      <c r="E30">
        <v>1</v>
      </c>
      <c r="F30" t="s">
        <v>62</v>
      </c>
    </row>
    <row r="31" spans="1:6" x14ac:dyDescent="0.35">
      <c r="A31" t="s">
        <v>56</v>
      </c>
      <c r="B31" t="s">
        <v>82</v>
      </c>
      <c r="C31" t="s">
        <v>7</v>
      </c>
      <c r="D31" t="s">
        <v>59</v>
      </c>
      <c r="E31">
        <v>1</v>
      </c>
      <c r="F31" t="s">
        <v>62</v>
      </c>
    </row>
    <row r="32" spans="1:6" x14ac:dyDescent="0.35">
      <c r="A32" t="s">
        <v>56</v>
      </c>
      <c r="B32" t="s">
        <v>82</v>
      </c>
      <c r="C32" t="s">
        <v>7</v>
      </c>
      <c r="D32" t="s">
        <v>58</v>
      </c>
      <c r="E32">
        <v>1</v>
      </c>
      <c r="F32" t="s">
        <v>62</v>
      </c>
    </row>
    <row r="33" spans="1:6" x14ac:dyDescent="0.35">
      <c r="A33" t="s">
        <v>56</v>
      </c>
      <c r="B33" t="s">
        <v>82</v>
      </c>
      <c r="C33" t="s">
        <v>7</v>
      </c>
      <c r="D33" t="s">
        <v>60</v>
      </c>
      <c r="E33">
        <v>1</v>
      </c>
      <c r="F33" t="s">
        <v>62</v>
      </c>
    </row>
    <row r="34" spans="1:6" x14ac:dyDescent="0.35">
      <c r="A34" t="s">
        <v>56</v>
      </c>
      <c r="B34" t="s">
        <v>82</v>
      </c>
      <c r="C34" t="s">
        <v>11</v>
      </c>
      <c r="D34" t="s">
        <v>57</v>
      </c>
      <c r="E34">
        <f>114/1000</f>
        <v>0.114</v>
      </c>
      <c r="F34" t="s">
        <v>63</v>
      </c>
    </row>
    <row r="35" spans="1:6" x14ac:dyDescent="0.35">
      <c r="A35" t="s">
        <v>56</v>
      </c>
      <c r="B35" t="s">
        <v>82</v>
      </c>
      <c r="C35" t="s">
        <v>11</v>
      </c>
      <c r="D35" t="s">
        <v>59</v>
      </c>
      <c r="E35">
        <f>0.22/1000</f>
        <v>2.2000000000000001E-4</v>
      </c>
      <c r="F35" t="s">
        <v>63</v>
      </c>
    </row>
    <row r="36" spans="1:6" x14ac:dyDescent="0.35">
      <c r="A36" t="s">
        <v>56</v>
      </c>
      <c r="B36" t="s">
        <v>82</v>
      </c>
      <c r="C36" t="s">
        <v>11</v>
      </c>
      <c r="D36" t="s">
        <v>58</v>
      </c>
      <c r="E36">
        <f>0.22/1000</f>
        <v>2.2000000000000001E-4</v>
      </c>
      <c r="F36" t="s">
        <v>63</v>
      </c>
    </row>
    <row r="37" spans="1:6" x14ac:dyDescent="0.35">
      <c r="A37" t="s">
        <v>56</v>
      </c>
      <c r="B37" t="s">
        <v>82</v>
      </c>
      <c r="C37" t="s">
        <v>11</v>
      </c>
      <c r="D37" t="s">
        <v>60</v>
      </c>
      <c r="E37">
        <f>114/1000</f>
        <v>0.114</v>
      </c>
      <c r="F37" t="s">
        <v>63</v>
      </c>
    </row>
    <row r="38" spans="1:6" x14ac:dyDescent="0.35">
      <c r="A38" t="s">
        <v>56</v>
      </c>
      <c r="B38" t="s">
        <v>82</v>
      </c>
      <c r="C38" t="s">
        <v>9</v>
      </c>
      <c r="D38" t="s">
        <v>69</v>
      </c>
      <c r="E38" s="3" t="s">
        <v>115</v>
      </c>
      <c r="F38" t="s">
        <v>114</v>
      </c>
    </row>
    <row r="39" spans="1:6" x14ac:dyDescent="0.35">
      <c r="A39" t="s">
        <v>56</v>
      </c>
      <c r="B39" t="s">
        <v>82</v>
      </c>
      <c r="C39" t="s">
        <v>9</v>
      </c>
      <c r="D39" t="s">
        <v>67</v>
      </c>
      <c r="E39" s="3" t="s">
        <v>115</v>
      </c>
      <c r="F39" t="s">
        <v>114</v>
      </c>
    </row>
    <row r="40" spans="1:6" x14ac:dyDescent="0.35">
      <c r="A40" t="s">
        <v>56</v>
      </c>
      <c r="B40" t="s">
        <v>82</v>
      </c>
      <c r="C40" t="s">
        <v>9</v>
      </c>
      <c r="D40" t="s">
        <v>65</v>
      </c>
      <c r="E40" s="3" t="s">
        <v>115</v>
      </c>
      <c r="F40" t="s">
        <v>114</v>
      </c>
    </row>
    <row r="41" spans="1:6" x14ac:dyDescent="0.35">
      <c r="A41" t="s">
        <v>56</v>
      </c>
      <c r="B41" t="s">
        <v>82</v>
      </c>
      <c r="C41" t="s">
        <v>9</v>
      </c>
      <c r="D41" t="s">
        <v>68</v>
      </c>
      <c r="E41" s="3" t="s">
        <v>115</v>
      </c>
      <c r="F41" t="s">
        <v>114</v>
      </c>
    </row>
    <row r="42" spans="1:6" x14ac:dyDescent="0.35">
      <c r="A42" t="s">
        <v>56</v>
      </c>
      <c r="B42" t="s">
        <v>82</v>
      </c>
      <c r="C42" t="s">
        <v>9</v>
      </c>
      <c r="D42" t="s">
        <v>66</v>
      </c>
      <c r="E42" s="3" t="s">
        <v>115</v>
      </c>
      <c r="F42" t="s">
        <v>114</v>
      </c>
    </row>
    <row r="43" spans="1:6" x14ac:dyDescent="0.35">
      <c r="A43" t="s">
        <v>56</v>
      </c>
      <c r="B43" t="s">
        <v>82</v>
      </c>
      <c r="C43" t="s">
        <v>8</v>
      </c>
      <c r="D43" t="s">
        <v>39</v>
      </c>
      <c r="E43">
        <v>1</v>
      </c>
      <c r="F43" t="s">
        <v>54</v>
      </c>
    </row>
    <row r="44" spans="1:6" x14ac:dyDescent="0.35">
      <c r="A44" t="s">
        <v>56</v>
      </c>
      <c r="B44" t="s">
        <v>82</v>
      </c>
      <c r="C44" t="s">
        <v>8</v>
      </c>
      <c r="D44" t="s">
        <v>70</v>
      </c>
      <c r="E44">
        <v>1</v>
      </c>
      <c r="F44" t="s">
        <v>54</v>
      </c>
    </row>
    <row r="45" spans="1:6" x14ac:dyDescent="0.35">
      <c r="A45" t="s">
        <v>56</v>
      </c>
      <c r="B45" t="s">
        <v>82</v>
      </c>
      <c r="C45" t="s">
        <v>8</v>
      </c>
      <c r="D45" t="s">
        <v>71</v>
      </c>
      <c r="E45">
        <v>1</v>
      </c>
      <c r="F45" t="s">
        <v>54</v>
      </c>
    </row>
    <row r="46" spans="1:6" x14ac:dyDescent="0.35">
      <c r="A46" t="s">
        <v>56</v>
      </c>
      <c r="B46" t="s">
        <v>82</v>
      </c>
      <c r="C46" t="s">
        <v>12</v>
      </c>
      <c r="D46" t="s">
        <v>39</v>
      </c>
      <c r="E46">
        <v>4.41</v>
      </c>
      <c r="F46" t="s">
        <v>63</v>
      </c>
    </row>
    <row r="47" spans="1:6" x14ac:dyDescent="0.35">
      <c r="A47" t="s">
        <v>56</v>
      </c>
      <c r="B47" t="s">
        <v>82</v>
      </c>
      <c r="C47" t="s">
        <v>12</v>
      </c>
      <c r="D47" t="s">
        <v>70</v>
      </c>
      <c r="E47">
        <v>1</v>
      </c>
      <c r="F47" t="s">
        <v>63</v>
      </c>
    </row>
    <row r="48" spans="1:6" x14ac:dyDescent="0.35">
      <c r="A48" t="s">
        <v>56</v>
      </c>
      <c r="B48" t="s">
        <v>82</v>
      </c>
      <c r="C48" t="s">
        <v>12</v>
      </c>
      <c r="D48" t="s">
        <v>71</v>
      </c>
      <c r="E48">
        <v>1.03</v>
      </c>
      <c r="F48" t="s">
        <v>63</v>
      </c>
    </row>
    <row r="49" spans="1:6" x14ac:dyDescent="0.35">
      <c r="A49" t="s">
        <v>56</v>
      </c>
      <c r="B49" t="s">
        <v>82</v>
      </c>
      <c r="C49" t="s">
        <v>10</v>
      </c>
      <c r="D49" t="s">
        <v>53</v>
      </c>
      <c r="E49">
        <v>1</v>
      </c>
      <c r="F49" t="s">
        <v>54</v>
      </c>
    </row>
    <row r="50" spans="1:6" x14ac:dyDescent="0.35">
      <c r="A50" t="s">
        <v>56</v>
      </c>
      <c r="B50" t="s">
        <v>76</v>
      </c>
      <c r="C50" t="s">
        <v>6</v>
      </c>
      <c r="D50" t="s">
        <v>57</v>
      </c>
      <c r="E50">
        <v>183718</v>
      </c>
      <c r="F50" t="s">
        <v>61</v>
      </c>
    </row>
    <row r="51" spans="1:6" x14ac:dyDescent="0.35">
      <c r="A51" t="s">
        <v>56</v>
      </c>
      <c r="B51" t="s">
        <v>76</v>
      </c>
      <c r="C51" t="s">
        <v>6</v>
      </c>
      <c r="D51" t="s">
        <v>59</v>
      </c>
      <c r="E51">
        <v>2471</v>
      </c>
      <c r="F51" t="s">
        <v>61</v>
      </c>
    </row>
    <row r="52" spans="1:6" x14ac:dyDescent="0.35">
      <c r="A52" t="s">
        <v>56</v>
      </c>
      <c r="B52" t="s">
        <v>76</v>
      </c>
      <c r="C52" t="s">
        <v>6</v>
      </c>
      <c r="D52" t="s">
        <v>58</v>
      </c>
      <c r="E52">
        <v>360</v>
      </c>
      <c r="F52" t="s">
        <v>61</v>
      </c>
    </row>
    <row r="53" spans="1:6" x14ac:dyDescent="0.35">
      <c r="A53" t="s">
        <v>56</v>
      </c>
      <c r="B53" t="s">
        <v>76</v>
      </c>
      <c r="C53" t="s">
        <v>6</v>
      </c>
      <c r="D53" t="s">
        <v>60</v>
      </c>
      <c r="E53">
        <v>183718</v>
      </c>
      <c r="F53" t="s">
        <v>61</v>
      </c>
    </row>
    <row r="54" spans="1:6" x14ac:dyDescent="0.35">
      <c r="A54" t="s">
        <v>56</v>
      </c>
      <c r="B54" t="s">
        <v>76</v>
      </c>
      <c r="C54" t="s">
        <v>7</v>
      </c>
      <c r="D54" t="s">
        <v>57</v>
      </c>
      <c r="E54">
        <v>1</v>
      </c>
      <c r="F54" t="s">
        <v>62</v>
      </c>
    </row>
    <row r="55" spans="1:6" x14ac:dyDescent="0.35">
      <c r="A55" t="s">
        <v>56</v>
      </c>
      <c r="B55" t="s">
        <v>76</v>
      </c>
      <c r="C55" t="s">
        <v>7</v>
      </c>
      <c r="D55" t="s">
        <v>59</v>
      </c>
      <c r="E55">
        <v>1</v>
      </c>
      <c r="F55" t="s">
        <v>62</v>
      </c>
    </row>
    <row r="56" spans="1:6" x14ac:dyDescent="0.35">
      <c r="A56" t="s">
        <v>56</v>
      </c>
      <c r="B56" t="s">
        <v>76</v>
      </c>
      <c r="C56" t="s">
        <v>7</v>
      </c>
      <c r="D56" t="s">
        <v>58</v>
      </c>
      <c r="E56">
        <v>1</v>
      </c>
      <c r="F56" t="s">
        <v>62</v>
      </c>
    </row>
    <row r="57" spans="1:6" x14ac:dyDescent="0.35">
      <c r="A57" t="s">
        <v>56</v>
      </c>
      <c r="B57" t="s">
        <v>76</v>
      </c>
      <c r="C57" t="s">
        <v>7</v>
      </c>
      <c r="D57" t="s">
        <v>60</v>
      </c>
      <c r="E57">
        <v>1</v>
      </c>
      <c r="F57" t="s">
        <v>62</v>
      </c>
    </row>
    <row r="58" spans="1:6" x14ac:dyDescent="0.35">
      <c r="A58" t="s">
        <v>56</v>
      </c>
      <c r="B58" t="s">
        <v>76</v>
      </c>
      <c r="C58" t="s">
        <v>11</v>
      </c>
      <c r="D58" t="s">
        <v>57</v>
      </c>
      <c r="E58">
        <f>114/1000</f>
        <v>0.114</v>
      </c>
      <c r="F58" t="s">
        <v>63</v>
      </c>
    </row>
    <row r="59" spans="1:6" x14ac:dyDescent="0.35">
      <c r="A59" t="s">
        <v>56</v>
      </c>
      <c r="B59" t="s">
        <v>76</v>
      </c>
      <c r="C59" t="s">
        <v>11</v>
      </c>
      <c r="D59" t="s">
        <v>59</v>
      </c>
      <c r="E59">
        <f>0.22/1000</f>
        <v>2.2000000000000001E-4</v>
      </c>
      <c r="F59" t="s">
        <v>63</v>
      </c>
    </row>
    <row r="60" spans="1:6" x14ac:dyDescent="0.35">
      <c r="A60" t="s">
        <v>56</v>
      </c>
      <c r="B60" t="s">
        <v>76</v>
      </c>
      <c r="C60" t="s">
        <v>11</v>
      </c>
      <c r="D60" t="s">
        <v>58</v>
      </c>
      <c r="E60">
        <f>0.22/1000</f>
        <v>2.2000000000000001E-4</v>
      </c>
      <c r="F60" t="s">
        <v>63</v>
      </c>
    </row>
    <row r="61" spans="1:6" x14ac:dyDescent="0.35">
      <c r="A61" t="s">
        <v>56</v>
      </c>
      <c r="B61" t="s">
        <v>76</v>
      </c>
      <c r="C61" t="s">
        <v>11</v>
      </c>
      <c r="D61" t="s">
        <v>60</v>
      </c>
      <c r="E61">
        <f>114/1000</f>
        <v>0.114</v>
      </c>
      <c r="F61" t="s">
        <v>63</v>
      </c>
    </row>
    <row r="62" spans="1:6" x14ac:dyDescent="0.35">
      <c r="A62" t="s">
        <v>56</v>
      </c>
      <c r="B62" t="s">
        <v>76</v>
      </c>
      <c r="C62" t="s">
        <v>9</v>
      </c>
      <c r="D62" t="s">
        <v>69</v>
      </c>
      <c r="E62" s="3" t="s">
        <v>115</v>
      </c>
      <c r="F62" t="s">
        <v>114</v>
      </c>
    </row>
    <row r="63" spans="1:6" x14ac:dyDescent="0.35">
      <c r="A63" t="s">
        <v>56</v>
      </c>
      <c r="B63" t="s">
        <v>76</v>
      </c>
      <c r="C63" t="s">
        <v>9</v>
      </c>
      <c r="D63" t="s">
        <v>67</v>
      </c>
      <c r="E63" s="3" t="s">
        <v>115</v>
      </c>
      <c r="F63" t="s">
        <v>114</v>
      </c>
    </row>
    <row r="64" spans="1:6" x14ac:dyDescent="0.35">
      <c r="A64" t="s">
        <v>56</v>
      </c>
      <c r="B64" t="s">
        <v>76</v>
      </c>
      <c r="C64" t="s">
        <v>9</v>
      </c>
      <c r="D64" t="s">
        <v>65</v>
      </c>
      <c r="E64" s="3" t="s">
        <v>115</v>
      </c>
      <c r="F64" t="s">
        <v>114</v>
      </c>
    </row>
    <row r="65" spans="1:6" x14ac:dyDescent="0.35">
      <c r="A65" t="s">
        <v>56</v>
      </c>
      <c r="B65" t="s">
        <v>76</v>
      </c>
      <c r="C65" t="s">
        <v>9</v>
      </c>
      <c r="D65" t="s">
        <v>68</v>
      </c>
      <c r="E65" s="3" t="s">
        <v>115</v>
      </c>
      <c r="F65" t="s">
        <v>114</v>
      </c>
    </row>
    <row r="66" spans="1:6" x14ac:dyDescent="0.35">
      <c r="A66" t="s">
        <v>56</v>
      </c>
      <c r="B66" t="s">
        <v>76</v>
      </c>
      <c r="C66" t="s">
        <v>9</v>
      </c>
      <c r="D66" t="s">
        <v>66</v>
      </c>
      <c r="E66" s="3" t="s">
        <v>115</v>
      </c>
      <c r="F66" t="s">
        <v>114</v>
      </c>
    </row>
    <row r="67" spans="1:6" x14ac:dyDescent="0.35">
      <c r="A67" t="s">
        <v>56</v>
      </c>
      <c r="B67" t="s">
        <v>76</v>
      </c>
      <c r="C67" t="s">
        <v>8</v>
      </c>
      <c r="D67" t="s">
        <v>39</v>
      </c>
      <c r="E67">
        <v>1</v>
      </c>
      <c r="F67" t="s">
        <v>54</v>
      </c>
    </row>
    <row r="68" spans="1:6" x14ac:dyDescent="0.35">
      <c r="A68" t="s">
        <v>56</v>
      </c>
      <c r="B68" t="s">
        <v>76</v>
      </c>
      <c r="C68" t="s">
        <v>8</v>
      </c>
      <c r="D68" t="s">
        <v>70</v>
      </c>
      <c r="E68">
        <v>1</v>
      </c>
      <c r="F68" t="s">
        <v>54</v>
      </c>
    </row>
    <row r="69" spans="1:6" x14ac:dyDescent="0.35">
      <c r="A69" t="s">
        <v>56</v>
      </c>
      <c r="B69" t="s">
        <v>76</v>
      </c>
      <c r="C69" t="s">
        <v>8</v>
      </c>
      <c r="D69" t="s">
        <v>71</v>
      </c>
      <c r="E69">
        <v>1</v>
      </c>
      <c r="F69" t="s">
        <v>54</v>
      </c>
    </row>
    <row r="70" spans="1:6" x14ac:dyDescent="0.35">
      <c r="A70" t="s">
        <v>56</v>
      </c>
      <c r="B70" t="s">
        <v>76</v>
      </c>
      <c r="C70" t="s">
        <v>12</v>
      </c>
      <c r="D70" t="s">
        <v>39</v>
      </c>
      <c r="E70">
        <v>4.41</v>
      </c>
      <c r="F70" t="s">
        <v>63</v>
      </c>
    </row>
    <row r="71" spans="1:6" x14ac:dyDescent="0.35">
      <c r="A71" t="s">
        <v>56</v>
      </c>
      <c r="B71" t="s">
        <v>76</v>
      </c>
      <c r="C71" t="s">
        <v>12</v>
      </c>
      <c r="D71" t="s">
        <v>70</v>
      </c>
      <c r="E71">
        <v>1</v>
      </c>
      <c r="F71" t="s">
        <v>63</v>
      </c>
    </row>
    <row r="72" spans="1:6" x14ac:dyDescent="0.35">
      <c r="A72" t="s">
        <v>56</v>
      </c>
      <c r="B72" t="s">
        <v>76</v>
      </c>
      <c r="C72" t="s">
        <v>12</v>
      </c>
      <c r="D72" t="s">
        <v>71</v>
      </c>
      <c r="E72">
        <v>1.03</v>
      </c>
      <c r="F72" t="s">
        <v>63</v>
      </c>
    </row>
    <row r="73" spans="1:6" x14ac:dyDescent="0.35">
      <c r="A73" t="s">
        <v>56</v>
      </c>
      <c r="B73" t="s">
        <v>76</v>
      </c>
      <c r="C73" t="s">
        <v>10</v>
      </c>
      <c r="D73" t="s">
        <v>53</v>
      </c>
      <c r="E73">
        <v>1</v>
      </c>
      <c r="F73" t="s">
        <v>54</v>
      </c>
    </row>
    <row r="74" spans="1:6" x14ac:dyDescent="0.35">
      <c r="A74" t="s">
        <v>56</v>
      </c>
      <c r="B74" t="s">
        <v>85</v>
      </c>
      <c r="C74" t="s">
        <v>6</v>
      </c>
      <c r="D74" t="s">
        <v>57</v>
      </c>
      <c r="E74">
        <v>183718</v>
      </c>
      <c r="F74" t="s">
        <v>61</v>
      </c>
    </row>
    <row r="75" spans="1:6" x14ac:dyDescent="0.35">
      <c r="A75" t="s">
        <v>56</v>
      </c>
      <c r="B75" t="s">
        <v>85</v>
      </c>
      <c r="C75" t="s">
        <v>6</v>
      </c>
      <c r="D75" t="s">
        <v>59</v>
      </c>
      <c r="E75">
        <v>2471</v>
      </c>
      <c r="F75" t="s">
        <v>61</v>
      </c>
    </row>
    <row r="76" spans="1:6" x14ac:dyDescent="0.35">
      <c r="A76" t="s">
        <v>56</v>
      </c>
      <c r="B76" t="s">
        <v>85</v>
      </c>
      <c r="C76" t="s">
        <v>6</v>
      </c>
      <c r="D76" t="s">
        <v>58</v>
      </c>
      <c r="E76">
        <v>360</v>
      </c>
      <c r="F76" t="s">
        <v>61</v>
      </c>
    </row>
    <row r="77" spans="1:6" x14ac:dyDescent="0.35">
      <c r="A77" t="s">
        <v>56</v>
      </c>
      <c r="B77" t="s">
        <v>85</v>
      </c>
      <c r="C77" t="s">
        <v>6</v>
      </c>
      <c r="D77" t="s">
        <v>60</v>
      </c>
      <c r="E77">
        <v>183718</v>
      </c>
      <c r="F77" t="s">
        <v>61</v>
      </c>
    </row>
    <row r="78" spans="1:6" x14ac:dyDescent="0.35">
      <c r="A78" t="s">
        <v>56</v>
      </c>
      <c r="B78" t="s">
        <v>85</v>
      </c>
      <c r="C78" t="s">
        <v>7</v>
      </c>
      <c r="D78" t="s">
        <v>57</v>
      </c>
      <c r="E78">
        <v>1</v>
      </c>
      <c r="F78" t="s">
        <v>62</v>
      </c>
    </row>
    <row r="79" spans="1:6" x14ac:dyDescent="0.35">
      <c r="A79" t="s">
        <v>56</v>
      </c>
      <c r="B79" t="s">
        <v>85</v>
      </c>
      <c r="C79" t="s">
        <v>7</v>
      </c>
      <c r="D79" t="s">
        <v>59</v>
      </c>
      <c r="E79">
        <v>1</v>
      </c>
      <c r="F79" t="s">
        <v>62</v>
      </c>
    </row>
    <row r="80" spans="1:6" x14ac:dyDescent="0.35">
      <c r="A80" t="s">
        <v>56</v>
      </c>
      <c r="B80" t="s">
        <v>85</v>
      </c>
      <c r="C80" t="s">
        <v>7</v>
      </c>
      <c r="D80" t="s">
        <v>58</v>
      </c>
      <c r="E80">
        <v>1</v>
      </c>
      <c r="F80" t="s">
        <v>62</v>
      </c>
    </row>
    <row r="81" spans="1:6" x14ac:dyDescent="0.35">
      <c r="A81" t="s">
        <v>56</v>
      </c>
      <c r="B81" t="s">
        <v>85</v>
      </c>
      <c r="C81" t="s">
        <v>7</v>
      </c>
      <c r="D81" t="s">
        <v>60</v>
      </c>
      <c r="E81">
        <v>1</v>
      </c>
      <c r="F81" t="s">
        <v>62</v>
      </c>
    </row>
    <row r="82" spans="1:6" x14ac:dyDescent="0.35">
      <c r="A82" t="s">
        <v>56</v>
      </c>
      <c r="B82" t="s">
        <v>85</v>
      </c>
      <c r="C82" t="s">
        <v>11</v>
      </c>
      <c r="D82" t="s">
        <v>57</v>
      </c>
      <c r="E82">
        <f>114/1000</f>
        <v>0.114</v>
      </c>
      <c r="F82" t="s">
        <v>63</v>
      </c>
    </row>
    <row r="83" spans="1:6" x14ac:dyDescent="0.35">
      <c r="A83" t="s">
        <v>56</v>
      </c>
      <c r="B83" t="s">
        <v>85</v>
      </c>
      <c r="C83" t="s">
        <v>11</v>
      </c>
      <c r="D83" t="s">
        <v>59</v>
      </c>
      <c r="E83">
        <f>0.22/1000</f>
        <v>2.2000000000000001E-4</v>
      </c>
      <c r="F83" t="s">
        <v>63</v>
      </c>
    </row>
    <row r="84" spans="1:6" x14ac:dyDescent="0.35">
      <c r="A84" t="s">
        <v>56</v>
      </c>
      <c r="B84" t="s">
        <v>85</v>
      </c>
      <c r="C84" t="s">
        <v>11</v>
      </c>
      <c r="D84" t="s">
        <v>58</v>
      </c>
      <c r="E84">
        <f>0.22/1000</f>
        <v>2.2000000000000001E-4</v>
      </c>
      <c r="F84" t="s">
        <v>63</v>
      </c>
    </row>
    <row r="85" spans="1:6" x14ac:dyDescent="0.35">
      <c r="A85" t="s">
        <v>56</v>
      </c>
      <c r="B85" t="s">
        <v>85</v>
      </c>
      <c r="C85" t="s">
        <v>11</v>
      </c>
      <c r="D85" t="s">
        <v>60</v>
      </c>
      <c r="E85">
        <f>114/1000</f>
        <v>0.114</v>
      </c>
      <c r="F85" t="s">
        <v>63</v>
      </c>
    </row>
    <row r="86" spans="1:6" x14ac:dyDescent="0.35">
      <c r="A86" t="s">
        <v>56</v>
      </c>
      <c r="B86" t="s">
        <v>85</v>
      </c>
      <c r="C86" t="s">
        <v>9</v>
      </c>
      <c r="D86" t="s">
        <v>69</v>
      </c>
      <c r="E86" s="3" t="s">
        <v>115</v>
      </c>
      <c r="F86" t="s">
        <v>114</v>
      </c>
    </row>
    <row r="87" spans="1:6" x14ac:dyDescent="0.35">
      <c r="A87" t="s">
        <v>56</v>
      </c>
      <c r="B87" t="s">
        <v>85</v>
      </c>
      <c r="C87" t="s">
        <v>9</v>
      </c>
      <c r="D87" t="s">
        <v>67</v>
      </c>
      <c r="E87" s="3" t="s">
        <v>115</v>
      </c>
      <c r="F87" t="s">
        <v>114</v>
      </c>
    </row>
    <row r="88" spans="1:6" x14ac:dyDescent="0.35">
      <c r="A88" t="s">
        <v>56</v>
      </c>
      <c r="B88" t="s">
        <v>85</v>
      </c>
      <c r="C88" t="s">
        <v>9</v>
      </c>
      <c r="D88" t="s">
        <v>65</v>
      </c>
      <c r="E88" s="3" t="s">
        <v>115</v>
      </c>
      <c r="F88" t="s">
        <v>114</v>
      </c>
    </row>
    <row r="89" spans="1:6" x14ac:dyDescent="0.35">
      <c r="A89" t="s">
        <v>56</v>
      </c>
      <c r="B89" t="s">
        <v>85</v>
      </c>
      <c r="C89" t="s">
        <v>9</v>
      </c>
      <c r="D89" t="s">
        <v>68</v>
      </c>
      <c r="E89" s="3" t="s">
        <v>115</v>
      </c>
      <c r="F89" t="s">
        <v>114</v>
      </c>
    </row>
    <row r="90" spans="1:6" x14ac:dyDescent="0.35">
      <c r="A90" t="s">
        <v>56</v>
      </c>
      <c r="B90" t="s">
        <v>85</v>
      </c>
      <c r="C90" t="s">
        <v>9</v>
      </c>
      <c r="D90" t="s">
        <v>66</v>
      </c>
      <c r="E90" s="3" t="s">
        <v>115</v>
      </c>
      <c r="F90" t="s">
        <v>114</v>
      </c>
    </row>
    <row r="91" spans="1:6" x14ac:dyDescent="0.35">
      <c r="A91" t="s">
        <v>56</v>
      </c>
      <c r="B91" t="s">
        <v>85</v>
      </c>
      <c r="C91" t="s">
        <v>8</v>
      </c>
      <c r="D91" t="s">
        <v>39</v>
      </c>
      <c r="E91">
        <v>1</v>
      </c>
      <c r="F91" t="s">
        <v>54</v>
      </c>
    </row>
    <row r="92" spans="1:6" x14ac:dyDescent="0.35">
      <c r="A92" t="s">
        <v>56</v>
      </c>
      <c r="B92" t="s">
        <v>85</v>
      </c>
      <c r="C92" t="s">
        <v>8</v>
      </c>
      <c r="D92" t="s">
        <v>70</v>
      </c>
      <c r="E92">
        <v>1</v>
      </c>
      <c r="F92" t="s">
        <v>54</v>
      </c>
    </row>
    <row r="93" spans="1:6" x14ac:dyDescent="0.35">
      <c r="A93" t="s">
        <v>56</v>
      </c>
      <c r="B93" t="s">
        <v>85</v>
      </c>
      <c r="C93" t="s">
        <v>8</v>
      </c>
      <c r="D93" t="s">
        <v>71</v>
      </c>
      <c r="E93">
        <v>1</v>
      </c>
      <c r="F93" t="s">
        <v>54</v>
      </c>
    </row>
    <row r="94" spans="1:6" x14ac:dyDescent="0.35">
      <c r="A94" t="s">
        <v>56</v>
      </c>
      <c r="B94" t="s">
        <v>85</v>
      </c>
      <c r="C94" t="s">
        <v>12</v>
      </c>
      <c r="D94" t="s">
        <v>39</v>
      </c>
      <c r="E94">
        <v>4.41</v>
      </c>
      <c r="F94" t="s">
        <v>63</v>
      </c>
    </row>
    <row r="95" spans="1:6" x14ac:dyDescent="0.35">
      <c r="A95" t="s">
        <v>56</v>
      </c>
      <c r="B95" t="s">
        <v>85</v>
      </c>
      <c r="C95" t="s">
        <v>12</v>
      </c>
      <c r="D95" t="s">
        <v>70</v>
      </c>
      <c r="E95">
        <v>1</v>
      </c>
      <c r="F95" t="s">
        <v>63</v>
      </c>
    </row>
    <row r="96" spans="1:6" x14ac:dyDescent="0.35">
      <c r="A96" t="s">
        <v>56</v>
      </c>
      <c r="B96" t="s">
        <v>85</v>
      </c>
      <c r="C96" t="s">
        <v>12</v>
      </c>
      <c r="D96" t="s">
        <v>71</v>
      </c>
      <c r="E96">
        <v>1.03</v>
      </c>
      <c r="F96" t="s">
        <v>63</v>
      </c>
    </row>
    <row r="97" spans="1:6" x14ac:dyDescent="0.35">
      <c r="A97" t="s">
        <v>56</v>
      </c>
      <c r="B97" t="s">
        <v>85</v>
      </c>
      <c r="C97" t="s">
        <v>10</v>
      </c>
      <c r="D97" t="s">
        <v>53</v>
      </c>
      <c r="E97">
        <v>1</v>
      </c>
      <c r="F97" t="s">
        <v>54</v>
      </c>
    </row>
    <row r="98" spans="1:6" x14ac:dyDescent="0.35">
      <c r="A98" t="s">
        <v>56</v>
      </c>
      <c r="B98" t="s">
        <v>79</v>
      </c>
      <c r="C98" t="s">
        <v>6</v>
      </c>
      <c r="D98" t="s">
        <v>57</v>
      </c>
      <c r="E98">
        <v>183718</v>
      </c>
      <c r="F98" t="s">
        <v>61</v>
      </c>
    </row>
    <row r="99" spans="1:6" x14ac:dyDescent="0.35">
      <c r="A99" t="s">
        <v>56</v>
      </c>
      <c r="B99" t="s">
        <v>79</v>
      </c>
      <c r="C99" t="s">
        <v>6</v>
      </c>
      <c r="D99" t="s">
        <v>59</v>
      </c>
      <c r="E99">
        <v>2471</v>
      </c>
      <c r="F99" t="s">
        <v>61</v>
      </c>
    </row>
    <row r="100" spans="1:6" x14ac:dyDescent="0.35">
      <c r="A100" t="s">
        <v>56</v>
      </c>
      <c r="B100" t="s">
        <v>79</v>
      </c>
      <c r="C100" t="s">
        <v>6</v>
      </c>
      <c r="D100" t="s">
        <v>58</v>
      </c>
      <c r="E100">
        <v>360</v>
      </c>
      <c r="F100" t="s">
        <v>61</v>
      </c>
    </row>
    <row r="101" spans="1:6" x14ac:dyDescent="0.35">
      <c r="A101" t="s">
        <v>56</v>
      </c>
      <c r="B101" t="s">
        <v>79</v>
      </c>
      <c r="C101" t="s">
        <v>6</v>
      </c>
      <c r="D101" t="s">
        <v>60</v>
      </c>
      <c r="E101">
        <v>183718</v>
      </c>
      <c r="F101" t="s">
        <v>61</v>
      </c>
    </row>
    <row r="102" spans="1:6" x14ac:dyDescent="0.35">
      <c r="A102" t="s">
        <v>56</v>
      </c>
      <c r="B102" t="s">
        <v>79</v>
      </c>
      <c r="C102" t="s">
        <v>7</v>
      </c>
      <c r="D102" t="s">
        <v>57</v>
      </c>
      <c r="E102">
        <v>1</v>
      </c>
      <c r="F102" t="s">
        <v>62</v>
      </c>
    </row>
    <row r="103" spans="1:6" x14ac:dyDescent="0.35">
      <c r="A103" t="s">
        <v>56</v>
      </c>
      <c r="B103" t="s">
        <v>79</v>
      </c>
      <c r="C103" t="s">
        <v>7</v>
      </c>
      <c r="D103" t="s">
        <v>59</v>
      </c>
      <c r="E103">
        <v>1</v>
      </c>
      <c r="F103" t="s">
        <v>62</v>
      </c>
    </row>
    <row r="104" spans="1:6" x14ac:dyDescent="0.35">
      <c r="A104" t="s">
        <v>56</v>
      </c>
      <c r="B104" t="s">
        <v>79</v>
      </c>
      <c r="C104" t="s">
        <v>7</v>
      </c>
      <c r="D104" t="s">
        <v>58</v>
      </c>
      <c r="E104">
        <v>1</v>
      </c>
      <c r="F104" t="s">
        <v>62</v>
      </c>
    </row>
    <row r="105" spans="1:6" x14ac:dyDescent="0.35">
      <c r="A105" t="s">
        <v>56</v>
      </c>
      <c r="B105" t="s">
        <v>79</v>
      </c>
      <c r="C105" t="s">
        <v>7</v>
      </c>
      <c r="D105" t="s">
        <v>60</v>
      </c>
      <c r="E105">
        <v>1</v>
      </c>
      <c r="F105" t="s">
        <v>62</v>
      </c>
    </row>
    <row r="106" spans="1:6" x14ac:dyDescent="0.35">
      <c r="A106" t="s">
        <v>56</v>
      </c>
      <c r="B106" t="s">
        <v>79</v>
      </c>
      <c r="C106" t="s">
        <v>11</v>
      </c>
      <c r="D106" t="s">
        <v>57</v>
      </c>
      <c r="E106">
        <f>114/1000</f>
        <v>0.114</v>
      </c>
      <c r="F106" t="s">
        <v>63</v>
      </c>
    </row>
    <row r="107" spans="1:6" x14ac:dyDescent="0.35">
      <c r="A107" t="s">
        <v>56</v>
      </c>
      <c r="B107" t="s">
        <v>79</v>
      </c>
      <c r="C107" t="s">
        <v>11</v>
      </c>
      <c r="D107" t="s">
        <v>59</v>
      </c>
      <c r="E107">
        <f>0.22/1000</f>
        <v>2.2000000000000001E-4</v>
      </c>
      <c r="F107" t="s">
        <v>63</v>
      </c>
    </row>
    <row r="108" spans="1:6" x14ac:dyDescent="0.35">
      <c r="A108" t="s">
        <v>56</v>
      </c>
      <c r="B108" t="s">
        <v>79</v>
      </c>
      <c r="C108" t="s">
        <v>11</v>
      </c>
      <c r="D108" t="s">
        <v>58</v>
      </c>
      <c r="E108">
        <f>0.22/1000</f>
        <v>2.2000000000000001E-4</v>
      </c>
      <c r="F108" t="s">
        <v>63</v>
      </c>
    </row>
    <row r="109" spans="1:6" x14ac:dyDescent="0.35">
      <c r="A109" t="s">
        <v>56</v>
      </c>
      <c r="B109" t="s">
        <v>79</v>
      </c>
      <c r="C109" t="s">
        <v>11</v>
      </c>
      <c r="D109" t="s">
        <v>60</v>
      </c>
      <c r="E109">
        <f>114/1000</f>
        <v>0.114</v>
      </c>
      <c r="F109" t="s">
        <v>63</v>
      </c>
    </row>
    <row r="110" spans="1:6" x14ac:dyDescent="0.35">
      <c r="A110" t="s">
        <v>56</v>
      </c>
      <c r="B110" t="s">
        <v>79</v>
      </c>
      <c r="C110" t="s">
        <v>9</v>
      </c>
      <c r="D110" t="s">
        <v>69</v>
      </c>
      <c r="E110" s="3" t="s">
        <v>115</v>
      </c>
      <c r="F110" t="s">
        <v>114</v>
      </c>
    </row>
    <row r="111" spans="1:6" x14ac:dyDescent="0.35">
      <c r="A111" t="s">
        <v>56</v>
      </c>
      <c r="B111" t="s">
        <v>79</v>
      </c>
      <c r="C111" t="s">
        <v>9</v>
      </c>
      <c r="D111" t="s">
        <v>67</v>
      </c>
      <c r="E111" s="3" t="s">
        <v>115</v>
      </c>
      <c r="F111" t="s">
        <v>114</v>
      </c>
    </row>
    <row r="112" spans="1:6" x14ac:dyDescent="0.35">
      <c r="A112" t="s">
        <v>56</v>
      </c>
      <c r="B112" t="s">
        <v>79</v>
      </c>
      <c r="C112" t="s">
        <v>9</v>
      </c>
      <c r="D112" t="s">
        <v>65</v>
      </c>
      <c r="E112" s="3" t="s">
        <v>115</v>
      </c>
      <c r="F112" t="s">
        <v>114</v>
      </c>
    </row>
    <row r="113" spans="1:6" x14ac:dyDescent="0.35">
      <c r="A113" t="s">
        <v>56</v>
      </c>
      <c r="B113" t="s">
        <v>79</v>
      </c>
      <c r="C113" t="s">
        <v>9</v>
      </c>
      <c r="D113" t="s">
        <v>68</v>
      </c>
      <c r="E113" s="3" t="s">
        <v>115</v>
      </c>
      <c r="F113" t="s">
        <v>114</v>
      </c>
    </row>
    <row r="114" spans="1:6" x14ac:dyDescent="0.35">
      <c r="A114" t="s">
        <v>56</v>
      </c>
      <c r="B114" t="s">
        <v>79</v>
      </c>
      <c r="C114" t="s">
        <v>9</v>
      </c>
      <c r="D114" t="s">
        <v>66</v>
      </c>
      <c r="E114" s="3" t="s">
        <v>115</v>
      </c>
      <c r="F114" t="s">
        <v>114</v>
      </c>
    </row>
    <row r="115" spans="1:6" x14ac:dyDescent="0.35">
      <c r="A115" t="s">
        <v>56</v>
      </c>
      <c r="B115" t="s">
        <v>79</v>
      </c>
      <c r="C115" t="s">
        <v>8</v>
      </c>
      <c r="D115" t="s">
        <v>39</v>
      </c>
      <c r="E115">
        <v>1</v>
      </c>
      <c r="F115" t="s">
        <v>54</v>
      </c>
    </row>
    <row r="116" spans="1:6" x14ac:dyDescent="0.35">
      <c r="A116" t="s">
        <v>56</v>
      </c>
      <c r="B116" t="s">
        <v>79</v>
      </c>
      <c r="C116" t="s">
        <v>8</v>
      </c>
      <c r="D116" t="s">
        <v>70</v>
      </c>
      <c r="E116">
        <v>1</v>
      </c>
      <c r="F116" t="s">
        <v>54</v>
      </c>
    </row>
    <row r="117" spans="1:6" x14ac:dyDescent="0.35">
      <c r="A117" t="s">
        <v>56</v>
      </c>
      <c r="B117" t="s">
        <v>79</v>
      </c>
      <c r="C117" t="s">
        <v>8</v>
      </c>
      <c r="D117" t="s">
        <v>71</v>
      </c>
      <c r="E117">
        <v>1</v>
      </c>
      <c r="F117" t="s">
        <v>54</v>
      </c>
    </row>
    <row r="118" spans="1:6" x14ac:dyDescent="0.35">
      <c r="A118" t="s">
        <v>56</v>
      </c>
      <c r="B118" t="s">
        <v>79</v>
      </c>
      <c r="C118" t="s">
        <v>12</v>
      </c>
      <c r="D118" t="s">
        <v>39</v>
      </c>
      <c r="E118">
        <v>4.41</v>
      </c>
      <c r="F118" t="s">
        <v>63</v>
      </c>
    </row>
    <row r="119" spans="1:6" x14ac:dyDescent="0.35">
      <c r="A119" t="s">
        <v>56</v>
      </c>
      <c r="B119" t="s">
        <v>79</v>
      </c>
      <c r="C119" t="s">
        <v>12</v>
      </c>
      <c r="D119" t="s">
        <v>70</v>
      </c>
      <c r="E119">
        <v>1</v>
      </c>
      <c r="F119" t="s">
        <v>63</v>
      </c>
    </row>
    <row r="120" spans="1:6" x14ac:dyDescent="0.35">
      <c r="A120" t="s">
        <v>56</v>
      </c>
      <c r="B120" t="s">
        <v>79</v>
      </c>
      <c r="C120" t="s">
        <v>12</v>
      </c>
      <c r="D120" t="s">
        <v>71</v>
      </c>
      <c r="E120">
        <v>1.03</v>
      </c>
      <c r="F120" t="s">
        <v>63</v>
      </c>
    </row>
    <row r="121" spans="1:6" x14ac:dyDescent="0.35">
      <c r="A121" t="s">
        <v>56</v>
      </c>
      <c r="B121" t="s">
        <v>79</v>
      </c>
      <c r="C121" t="s">
        <v>10</v>
      </c>
      <c r="D121" t="s">
        <v>53</v>
      </c>
      <c r="E121">
        <v>1</v>
      </c>
      <c r="F121" t="s">
        <v>54</v>
      </c>
    </row>
    <row r="122" spans="1:6" x14ac:dyDescent="0.35">
      <c r="A122" t="s">
        <v>56</v>
      </c>
      <c r="B122" t="s">
        <v>81</v>
      </c>
      <c r="C122" t="s">
        <v>6</v>
      </c>
      <c r="D122" t="s">
        <v>57</v>
      </c>
      <c r="E122">
        <v>183718</v>
      </c>
      <c r="F122" t="s">
        <v>61</v>
      </c>
    </row>
    <row r="123" spans="1:6" x14ac:dyDescent="0.35">
      <c r="A123" t="s">
        <v>56</v>
      </c>
      <c r="B123" t="s">
        <v>81</v>
      </c>
      <c r="C123" t="s">
        <v>6</v>
      </c>
      <c r="D123" t="s">
        <v>59</v>
      </c>
      <c r="E123">
        <v>2471</v>
      </c>
      <c r="F123" t="s">
        <v>61</v>
      </c>
    </row>
    <row r="124" spans="1:6" x14ac:dyDescent="0.35">
      <c r="A124" t="s">
        <v>56</v>
      </c>
      <c r="B124" t="s">
        <v>81</v>
      </c>
      <c r="C124" t="s">
        <v>6</v>
      </c>
      <c r="D124" t="s">
        <v>58</v>
      </c>
      <c r="E124">
        <v>360</v>
      </c>
      <c r="F124" t="s">
        <v>61</v>
      </c>
    </row>
    <row r="125" spans="1:6" x14ac:dyDescent="0.35">
      <c r="A125" t="s">
        <v>56</v>
      </c>
      <c r="B125" t="s">
        <v>81</v>
      </c>
      <c r="C125" t="s">
        <v>6</v>
      </c>
      <c r="D125" t="s">
        <v>60</v>
      </c>
      <c r="E125">
        <v>183718</v>
      </c>
      <c r="F125" t="s">
        <v>61</v>
      </c>
    </row>
    <row r="126" spans="1:6" x14ac:dyDescent="0.35">
      <c r="A126" t="s">
        <v>56</v>
      </c>
      <c r="B126" t="s">
        <v>81</v>
      </c>
      <c r="C126" t="s">
        <v>7</v>
      </c>
      <c r="D126" t="s">
        <v>57</v>
      </c>
      <c r="E126">
        <v>1</v>
      </c>
      <c r="F126" t="s">
        <v>62</v>
      </c>
    </row>
    <row r="127" spans="1:6" x14ac:dyDescent="0.35">
      <c r="A127" t="s">
        <v>56</v>
      </c>
      <c r="B127" t="s">
        <v>81</v>
      </c>
      <c r="C127" t="s">
        <v>7</v>
      </c>
      <c r="D127" t="s">
        <v>59</v>
      </c>
      <c r="E127">
        <v>1</v>
      </c>
      <c r="F127" t="s">
        <v>62</v>
      </c>
    </row>
    <row r="128" spans="1:6" x14ac:dyDescent="0.35">
      <c r="A128" t="s">
        <v>56</v>
      </c>
      <c r="B128" t="s">
        <v>81</v>
      </c>
      <c r="C128" t="s">
        <v>7</v>
      </c>
      <c r="D128" t="s">
        <v>58</v>
      </c>
      <c r="E128">
        <v>1</v>
      </c>
      <c r="F128" t="s">
        <v>62</v>
      </c>
    </row>
    <row r="129" spans="1:6" x14ac:dyDescent="0.35">
      <c r="A129" t="s">
        <v>56</v>
      </c>
      <c r="B129" t="s">
        <v>81</v>
      </c>
      <c r="C129" t="s">
        <v>7</v>
      </c>
      <c r="D129" t="s">
        <v>60</v>
      </c>
      <c r="E129">
        <v>1</v>
      </c>
      <c r="F129" t="s">
        <v>62</v>
      </c>
    </row>
    <row r="130" spans="1:6" x14ac:dyDescent="0.35">
      <c r="A130" t="s">
        <v>56</v>
      </c>
      <c r="B130" t="s">
        <v>81</v>
      </c>
      <c r="C130" t="s">
        <v>11</v>
      </c>
      <c r="D130" t="s">
        <v>57</v>
      </c>
      <c r="E130">
        <f>114/1000</f>
        <v>0.114</v>
      </c>
      <c r="F130" t="s">
        <v>63</v>
      </c>
    </row>
    <row r="131" spans="1:6" x14ac:dyDescent="0.35">
      <c r="A131" t="s">
        <v>56</v>
      </c>
      <c r="B131" t="s">
        <v>81</v>
      </c>
      <c r="C131" t="s">
        <v>11</v>
      </c>
      <c r="D131" t="s">
        <v>59</v>
      </c>
      <c r="E131">
        <f>0.22/1000</f>
        <v>2.2000000000000001E-4</v>
      </c>
      <c r="F131" t="s">
        <v>63</v>
      </c>
    </row>
    <row r="132" spans="1:6" x14ac:dyDescent="0.35">
      <c r="A132" t="s">
        <v>56</v>
      </c>
      <c r="B132" t="s">
        <v>81</v>
      </c>
      <c r="C132" t="s">
        <v>11</v>
      </c>
      <c r="D132" t="s">
        <v>58</v>
      </c>
      <c r="E132">
        <f>0.22/1000</f>
        <v>2.2000000000000001E-4</v>
      </c>
      <c r="F132" t="s">
        <v>63</v>
      </c>
    </row>
    <row r="133" spans="1:6" x14ac:dyDescent="0.35">
      <c r="A133" t="s">
        <v>56</v>
      </c>
      <c r="B133" t="s">
        <v>81</v>
      </c>
      <c r="C133" t="s">
        <v>11</v>
      </c>
      <c r="D133" t="s">
        <v>60</v>
      </c>
      <c r="E133">
        <f>114/1000</f>
        <v>0.114</v>
      </c>
      <c r="F133" t="s">
        <v>63</v>
      </c>
    </row>
    <row r="134" spans="1:6" x14ac:dyDescent="0.35">
      <c r="A134" t="s">
        <v>56</v>
      </c>
      <c r="B134" t="s">
        <v>81</v>
      </c>
      <c r="C134" t="s">
        <v>9</v>
      </c>
      <c r="D134" t="s">
        <v>69</v>
      </c>
      <c r="E134" s="3" t="s">
        <v>115</v>
      </c>
      <c r="F134" t="s">
        <v>114</v>
      </c>
    </row>
    <row r="135" spans="1:6" x14ac:dyDescent="0.35">
      <c r="A135" t="s">
        <v>56</v>
      </c>
      <c r="B135" t="s">
        <v>81</v>
      </c>
      <c r="C135" t="s">
        <v>9</v>
      </c>
      <c r="D135" t="s">
        <v>67</v>
      </c>
      <c r="E135" s="3" t="s">
        <v>115</v>
      </c>
      <c r="F135" t="s">
        <v>114</v>
      </c>
    </row>
    <row r="136" spans="1:6" x14ac:dyDescent="0.35">
      <c r="A136" t="s">
        <v>56</v>
      </c>
      <c r="B136" t="s">
        <v>81</v>
      </c>
      <c r="C136" t="s">
        <v>9</v>
      </c>
      <c r="D136" t="s">
        <v>65</v>
      </c>
      <c r="E136" s="3" t="s">
        <v>115</v>
      </c>
      <c r="F136" t="s">
        <v>114</v>
      </c>
    </row>
    <row r="137" spans="1:6" x14ac:dyDescent="0.35">
      <c r="A137" t="s">
        <v>56</v>
      </c>
      <c r="B137" t="s">
        <v>81</v>
      </c>
      <c r="C137" t="s">
        <v>9</v>
      </c>
      <c r="D137" t="s">
        <v>68</v>
      </c>
      <c r="E137" s="3" t="s">
        <v>115</v>
      </c>
      <c r="F137" t="s">
        <v>114</v>
      </c>
    </row>
    <row r="138" spans="1:6" x14ac:dyDescent="0.35">
      <c r="A138" t="s">
        <v>56</v>
      </c>
      <c r="B138" t="s">
        <v>81</v>
      </c>
      <c r="C138" t="s">
        <v>9</v>
      </c>
      <c r="D138" t="s">
        <v>66</v>
      </c>
      <c r="E138" s="3" t="s">
        <v>115</v>
      </c>
      <c r="F138" t="s">
        <v>114</v>
      </c>
    </row>
    <row r="139" spans="1:6" x14ac:dyDescent="0.35">
      <c r="A139" t="s">
        <v>56</v>
      </c>
      <c r="B139" t="s">
        <v>81</v>
      </c>
      <c r="C139" t="s">
        <v>8</v>
      </c>
      <c r="D139" t="s">
        <v>39</v>
      </c>
      <c r="E139">
        <v>1</v>
      </c>
      <c r="F139" t="s">
        <v>54</v>
      </c>
    </row>
    <row r="140" spans="1:6" x14ac:dyDescent="0.35">
      <c r="A140" t="s">
        <v>56</v>
      </c>
      <c r="B140" t="s">
        <v>81</v>
      </c>
      <c r="C140" t="s">
        <v>8</v>
      </c>
      <c r="D140" t="s">
        <v>70</v>
      </c>
      <c r="E140">
        <v>1</v>
      </c>
      <c r="F140" t="s">
        <v>54</v>
      </c>
    </row>
    <row r="141" spans="1:6" x14ac:dyDescent="0.35">
      <c r="A141" t="s">
        <v>56</v>
      </c>
      <c r="B141" t="s">
        <v>81</v>
      </c>
      <c r="C141" t="s">
        <v>8</v>
      </c>
      <c r="D141" t="s">
        <v>71</v>
      </c>
      <c r="E141">
        <v>1</v>
      </c>
      <c r="F141" t="s">
        <v>54</v>
      </c>
    </row>
    <row r="142" spans="1:6" x14ac:dyDescent="0.35">
      <c r="A142" t="s">
        <v>56</v>
      </c>
      <c r="B142" t="s">
        <v>81</v>
      </c>
      <c r="C142" t="s">
        <v>12</v>
      </c>
      <c r="D142" t="s">
        <v>39</v>
      </c>
      <c r="E142">
        <v>4.41</v>
      </c>
      <c r="F142" t="s">
        <v>63</v>
      </c>
    </row>
    <row r="143" spans="1:6" x14ac:dyDescent="0.35">
      <c r="A143" t="s">
        <v>56</v>
      </c>
      <c r="B143" t="s">
        <v>81</v>
      </c>
      <c r="C143" t="s">
        <v>12</v>
      </c>
      <c r="D143" t="s">
        <v>70</v>
      </c>
      <c r="E143">
        <v>1</v>
      </c>
      <c r="F143" t="s">
        <v>63</v>
      </c>
    </row>
    <row r="144" spans="1:6" x14ac:dyDescent="0.35">
      <c r="A144" t="s">
        <v>56</v>
      </c>
      <c r="B144" t="s">
        <v>81</v>
      </c>
      <c r="C144" t="s">
        <v>12</v>
      </c>
      <c r="D144" t="s">
        <v>71</v>
      </c>
      <c r="E144">
        <v>1.03</v>
      </c>
      <c r="F144" t="s">
        <v>63</v>
      </c>
    </row>
    <row r="145" spans="1:6" x14ac:dyDescent="0.35">
      <c r="A145" t="s">
        <v>56</v>
      </c>
      <c r="B145" t="s">
        <v>81</v>
      </c>
      <c r="C145" t="s">
        <v>10</v>
      </c>
      <c r="D145" t="s">
        <v>53</v>
      </c>
      <c r="E145">
        <v>1</v>
      </c>
      <c r="F145" t="s">
        <v>54</v>
      </c>
    </row>
    <row r="146" spans="1:6" x14ac:dyDescent="0.35">
      <c r="A146" t="s">
        <v>56</v>
      </c>
      <c r="B146" t="s">
        <v>75</v>
      </c>
      <c r="C146" t="s">
        <v>6</v>
      </c>
      <c r="D146" t="s">
        <v>57</v>
      </c>
      <c r="E146">
        <v>183718</v>
      </c>
      <c r="F146" t="s">
        <v>61</v>
      </c>
    </row>
    <row r="147" spans="1:6" x14ac:dyDescent="0.35">
      <c r="A147" t="s">
        <v>56</v>
      </c>
      <c r="B147" t="s">
        <v>75</v>
      </c>
      <c r="C147" t="s">
        <v>6</v>
      </c>
      <c r="D147" t="s">
        <v>59</v>
      </c>
      <c r="E147">
        <v>2471</v>
      </c>
      <c r="F147" t="s">
        <v>61</v>
      </c>
    </row>
    <row r="148" spans="1:6" x14ac:dyDescent="0.35">
      <c r="A148" t="s">
        <v>56</v>
      </c>
      <c r="B148" t="s">
        <v>75</v>
      </c>
      <c r="C148" t="s">
        <v>6</v>
      </c>
      <c r="D148" t="s">
        <v>58</v>
      </c>
      <c r="E148">
        <v>360</v>
      </c>
      <c r="F148" t="s">
        <v>61</v>
      </c>
    </row>
    <row r="149" spans="1:6" x14ac:dyDescent="0.35">
      <c r="A149" t="s">
        <v>56</v>
      </c>
      <c r="B149" t="s">
        <v>75</v>
      </c>
      <c r="C149" t="s">
        <v>6</v>
      </c>
      <c r="D149" t="s">
        <v>60</v>
      </c>
      <c r="E149">
        <v>183718</v>
      </c>
      <c r="F149" t="s">
        <v>61</v>
      </c>
    </row>
    <row r="150" spans="1:6" x14ac:dyDescent="0.35">
      <c r="A150" t="s">
        <v>56</v>
      </c>
      <c r="B150" t="s">
        <v>75</v>
      </c>
      <c r="C150" t="s">
        <v>7</v>
      </c>
      <c r="D150" t="s">
        <v>57</v>
      </c>
      <c r="E150">
        <v>1</v>
      </c>
      <c r="F150" t="s">
        <v>62</v>
      </c>
    </row>
    <row r="151" spans="1:6" x14ac:dyDescent="0.35">
      <c r="A151" t="s">
        <v>56</v>
      </c>
      <c r="B151" t="s">
        <v>75</v>
      </c>
      <c r="C151" t="s">
        <v>7</v>
      </c>
      <c r="D151" t="s">
        <v>59</v>
      </c>
      <c r="E151">
        <v>1</v>
      </c>
      <c r="F151" t="s">
        <v>62</v>
      </c>
    </row>
    <row r="152" spans="1:6" x14ac:dyDescent="0.35">
      <c r="A152" t="s">
        <v>56</v>
      </c>
      <c r="B152" t="s">
        <v>75</v>
      </c>
      <c r="C152" t="s">
        <v>7</v>
      </c>
      <c r="D152" t="s">
        <v>58</v>
      </c>
      <c r="E152">
        <v>1</v>
      </c>
      <c r="F152" t="s">
        <v>62</v>
      </c>
    </row>
    <row r="153" spans="1:6" x14ac:dyDescent="0.35">
      <c r="A153" t="s">
        <v>56</v>
      </c>
      <c r="B153" t="s">
        <v>75</v>
      </c>
      <c r="C153" t="s">
        <v>7</v>
      </c>
      <c r="D153" t="s">
        <v>60</v>
      </c>
      <c r="E153">
        <v>1</v>
      </c>
      <c r="F153" t="s">
        <v>62</v>
      </c>
    </row>
    <row r="154" spans="1:6" x14ac:dyDescent="0.35">
      <c r="A154" t="s">
        <v>56</v>
      </c>
      <c r="B154" t="s">
        <v>75</v>
      </c>
      <c r="C154" t="s">
        <v>11</v>
      </c>
      <c r="D154" t="s">
        <v>57</v>
      </c>
      <c r="E154">
        <f>114/1000</f>
        <v>0.114</v>
      </c>
      <c r="F154" t="s">
        <v>63</v>
      </c>
    </row>
    <row r="155" spans="1:6" x14ac:dyDescent="0.35">
      <c r="A155" t="s">
        <v>56</v>
      </c>
      <c r="B155" t="s">
        <v>75</v>
      </c>
      <c r="C155" t="s">
        <v>11</v>
      </c>
      <c r="D155" t="s">
        <v>59</v>
      </c>
      <c r="E155">
        <f>0.22/1000</f>
        <v>2.2000000000000001E-4</v>
      </c>
      <c r="F155" t="s">
        <v>63</v>
      </c>
    </row>
    <row r="156" spans="1:6" x14ac:dyDescent="0.35">
      <c r="A156" t="s">
        <v>56</v>
      </c>
      <c r="B156" t="s">
        <v>75</v>
      </c>
      <c r="C156" t="s">
        <v>11</v>
      </c>
      <c r="D156" t="s">
        <v>58</v>
      </c>
      <c r="E156">
        <f>0.22/1000</f>
        <v>2.2000000000000001E-4</v>
      </c>
      <c r="F156" t="s">
        <v>63</v>
      </c>
    </row>
    <row r="157" spans="1:6" x14ac:dyDescent="0.35">
      <c r="A157" t="s">
        <v>56</v>
      </c>
      <c r="B157" t="s">
        <v>75</v>
      </c>
      <c r="C157" t="s">
        <v>11</v>
      </c>
      <c r="D157" t="s">
        <v>60</v>
      </c>
      <c r="E157">
        <f>114/1000</f>
        <v>0.114</v>
      </c>
      <c r="F157" t="s">
        <v>63</v>
      </c>
    </row>
    <row r="158" spans="1:6" x14ac:dyDescent="0.35">
      <c r="A158" t="s">
        <v>56</v>
      </c>
      <c r="B158" t="s">
        <v>75</v>
      </c>
      <c r="C158" t="s">
        <v>9</v>
      </c>
      <c r="D158" t="s">
        <v>69</v>
      </c>
      <c r="E158" s="3" t="s">
        <v>115</v>
      </c>
      <c r="F158" t="s">
        <v>114</v>
      </c>
    </row>
    <row r="159" spans="1:6" x14ac:dyDescent="0.35">
      <c r="A159" t="s">
        <v>56</v>
      </c>
      <c r="B159" t="s">
        <v>75</v>
      </c>
      <c r="C159" t="s">
        <v>9</v>
      </c>
      <c r="D159" t="s">
        <v>67</v>
      </c>
      <c r="E159" s="3" t="s">
        <v>115</v>
      </c>
      <c r="F159" t="s">
        <v>114</v>
      </c>
    </row>
    <row r="160" spans="1:6" x14ac:dyDescent="0.35">
      <c r="A160" t="s">
        <v>56</v>
      </c>
      <c r="B160" t="s">
        <v>75</v>
      </c>
      <c r="C160" t="s">
        <v>9</v>
      </c>
      <c r="D160" t="s">
        <v>65</v>
      </c>
      <c r="E160" s="3" t="s">
        <v>115</v>
      </c>
      <c r="F160" t="s">
        <v>114</v>
      </c>
    </row>
    <row r="161" spans="1:6" x14ac:dyDescent="0.35">
      <c r="A161" t="s">
        <v>56</v>
      </c>
      <c r="B161" t="s">
        <v>75</v>
      </c>
      <c r="C161" t="s">
        <v>9</v>
      </c>
      <c r="D161" t="s">
        <v>68</v>
      </c>
      <c r="E161" s="3" t="s">
        <v>115</v>
      </c>
      <c r="F161" t="s">
        <v>114</v>
      </c>
    </row>
    <row r="162" spans="1:6" x14ac:dyDescent="0.35">
      <c r="A162" t="s">
        <v>56</v>
      </c>
      <c r="B162" t="s">
        <v>75</v>
      </c>
      <c r="C162" t="s">
        <v>9</v>
      </c>
      <c r="D162" t="s">
        <v>66</v>
      </c>
      <c r="E162" s="3" t="s">
        <v>115</v>
      </c>
      <c r="F162" t="s">
        <v>114</v>
      </c>
    </row>
    <row r="163" spans="1:6" x14ac:dyDescent="0.35">
      <c r="A163" t="s">
        <v>56</v>
      </c>
      <c r="B163" t="s">
        <v>75</v>
      </c>
      <c r="C163" t="s">
        <v>8</v>
      </c>
      <c r="D163" t="s">
        <v>39</v>
      </c>
      <c r="E163">
        <v>1</v>
      </c>
      <c r="F163" t="s">
        <v>54</v>
      </c>
    </row>
    <row r="164" spans="1:6" x14ac:dyDescent="0.35">
      <c r="A164" t="s">
        <v>56</v>
      </c>
      <c r="B164" t="s">
        <v>75</v>
      </c>
      <c r="C164" t="s">
        <v>8</v>
      </c>
      <c r="D164" t="s">
        <v>70</v>
      </c>
      <c r="E164">
        <v>1</v>
      </c>
      <c r="F164" t="s">
        <v>54</v>
      </c>
    </row>
    <row r="165" spans="1:6" x14ac:dyDescent="0.35">
      <c r="A165" t="s">
        <v>56</v>
      </c>
      <c r="B165" t="s">
        <v>75</v>
      </c>
      <c r="C165" t="s">
        <v>8</v>
      </c>
      <c r="D165" t="s">
        <v>71</v>
      </c>
      <c r="E165">
        <v>1</v>
      </c>
      <c r="F165" t="s">
        <v>54</v>
      </c>
    </row>
    <row r="166" spans="1:6" x14ac:dyDescent="0.35">
      <c r="A166" t="s">
        <v>56</v>
      </c>
      <c r="B166" t="s">
        <v>75</v>
      </c>
      <c r="C166" t="s">
        <v>12</v>
      </c>
      <c r="D166" t="s">
        <v>39</v>
      </c>
      <c r="E166">
        <v>4.41</v>
      </c>
      <c r="F166" t="s">
        <v>63</v>
      </c>
    </row>
    <row r="167" spans="1:6" x14ac:dyDescent="0.35">
      <c r="A167" t="s">
        <v>56</v>
      </c>
      <c r="B167" t="s">
        <v>75</v>
      </c>
      <c r="C167" t="s">
        <v>12</v>
      </c>
      <c r="D167" t="s">
        <v>70</v>
      </c>
      <c r="E167">
        <v>1</v>
      </c>
      <c r="F167" t="s">
        <v>63</v>
      </c>
    </row>
    <row r="168" spans="1:6" x14ac:dyDescent="0.35">
      <c r="A168" t="s">
        <v>56</v>
      </c>
      <c r="B168" t="s">
        <v>75</v>
      </c>
      <c r="C168" t="s">
        <v>12</v>
      </c>
      <c r="D168" t="s">
        <v>71</v>
      </c>
      <c r="E168">
        <v>1.03</v>
      </c>
      <c r="F168" t="s">
        <v>63</v>
      </c>
    </row>
    <row r="169" spans="1:6" x14ac:dyDescent="0.35">
      <c r="A169" t="s">
        <v>56</v>
      </c>
      <c r="B169" t="s">
        <v>75</v>
      </c>
      <c r="C169" t="s">
        <v>10</v>
      </c>
      <c r="D169" t="s">
        <v>53</v>
      </c>
      <c r="E169">
        <v>1</v>
      </c>
      <c r="F169" t="s">
        <v>54</v>
      </c>
    </row>
    <row r="170" spans="1:6" x14ac:dyDescent="0.35">
      <c r="A170" t="s">
        <v>56</v>
      </c>
      <c r="B170" t="s">
        <v>84</v>
      </c>
      <c r="C170" t="s">
        <v>6</v>
      </c>
      <c r="D170" t="s">
        <v>57</v>
      </c>
      <c r="E170">
        <v>183718</v>
      </c>
      <c r="F170" t="s">
        <v>61</v>
      </c>
    </row>
    <row r="171" spans="1:6" x14ac:dyDescent="0.35">
      <c r="A171" t="s">
        <v>56</v>
      </c>
      <c r="B171" t="s">
        <v>84</v>
      </c>
      <c r="C171" t="s">
        <v>6</v>
      </c>
      <c r="D171" t="s">
        <v>59</v>
      </c>
      <c r="E171">
        <v>2471</v>
      </c>
      <c r="F171" t="s">
        <v>61</v>
      </c>
    </row>
    <row r="172" spans="1:6" x14ac:dyDescent="0.35">
      <c r="A172" t="s">
        <v>56</v>
      </c>
      <c r="B172" t="s">
        <v>84</v>
      </c>
      <c r="C172" t="s">
        <v>6</v>
      </c>
      <c r="D172" t="s">
        <v>58</v>
      </c>
      <c r="E172">
        <v>360</v>
      </c>
      <c r="F172" t="s">
        <v>61</v>
      </c>
    </row>
    <row r="173" spans="1:6" x14ac:dyDescent="0.35">
      <c r="A173" t="s">
        <v>56</v>
      </c>
      <c r="B173" t="s">
        <v>84</v>
      </c>
      <c r="C173" t="s">
        <v>6</v>
      </c>
      <c r="D173" t="s">
        <v>60</v>
      </c>
      <c r="E173">
        <v>183718</v>
      </c>
      <c r="F173" t="s">
        <v>61</v>
      </c>
    </row>
    <row r="174" spans="1:6" x14ac:dyDescent="0.35">
      <c r="A174" t="s">
        <v>56</v>
      </c>
      <c r="B174" t="s">
        <v>84</v>
      </c>
      <c r="C174" t="s">
        <v>7</v>
      </c>
      <c r="D174" t="s">
        <v>57</v>
      </c>
      <c r="E174">
        <v>1</v>
      </c>
      <c r="F174" t="s">
        <v>62</v>
      </c>
    </row>
    <row r="175" spans="1:6" x14ac:dyDescent="0.35">
      <c r="A175" t="s">
        <v>56</v>
      </c>
      <c r="B175" t="s">
        <v>84</v>
      </c>
      <c r="C175" t="s">
        <v>7</v>
      </c>
      <c r="D175" t="s">
        <v>59</v>
      </c>
      <c r="E175">
        <v>1</v>
      </c>
      <c r="F175" t="s">
        <v>62</v>
      </c>
    </row>
    <row r="176" spans="1:6" x14ac:dyDescent="0.35">
      <c r="A176" t="s">
        <v>56</v>
      </c>
      <c r="B176" t="s">
        <v>84</v>
      </c>
      <c r="C176" t="s">
        <v>7</v>
      </c>
      <c r="D176" t="s">
        <v>58</v>
      </c>
      <c r="E176">
        <v>1</v>
      </c>
      <c r="F176" t="s">
        <v>62</v>
      </c>
    </row>
    <row r="177" spans="1:6" x14ac:dyDescent="0.35">
      <c r="A177" t="s">
        <v>56</v>
      </c>
      <c r="B177" t="s">
        <v>84</v>
      </c>
      <c r="C177" t="s">
        <v>7</v>
      </c>
      <c r="D177" t="s">
        <v>60</v>
      </c>
      <c r="E177">
        <v>1</v>
      </c>
      <c r="F177" t="s">
        <v>62</v>
      </c>
    </row>
    <row r="178" spans="1:6" x14ac:dyDescent="0.35">
      <c r="A178" t="s">
        <v>56</v>
      </c>
      <c r="B178" t="s">
        <v>84</v>
      </c>
      <c r="C178" t="s">
        <v>11</v>
      </c>
      <c r="D178" t="s">
        <v>57</v>
      </c>
      <c r="E178">
        <f>114/1000</f>
        <v>0.114</v>
      </c>
      <c r="F178" t="s">
        <v>63</v>
      </c>
    </row>
    <row r="179" spans="1:6" x14ac:dyDescent="0.35">
      <c r="A179" t="s">
        <v>56</v>
      </c>
      <c r="B179" t="s">
        <v>84</v>
      </c>
      <c r="C179" t="s">
        <v>11</v>
      </c>
      <c r="D179" t="s">
        <v>59</v>
      </c>
      <c r="E179">
        <f>0.22/1000</f>
        <v>2.2000000000000001E-4</v>
      </c>
      <c r="F179" t="s">
        <v>63</v>
      </c>
    </row>
    <row r="180" spans="1:6" x14ac:dyDescent="0.35">
      <c r="A180" t="s">
        <v>56</v>
      </c>
      <c r="B180" t="s">
        <v>84</v>
      </c>
      <c r="C180" t="s">
        <v>11</v>
      </c>
      <c r="D180" t="s">
        <v>58</v>
      </c>
      <c r="E180">
        <f>0.22/1000</f>
        <v>2.2000000000000001E-4</v>
      </c>
      <c r="F180" t="s">
        <v>63</v>
      </c>
    </row>
    <row r="181" spans="1:6" x14ac:dyDescent="0.35">
      <c r="A181" t="s">
        <v>56</v>
      </c>
      <c r="B181" t="s">
        <v>84</v>
      </c>
      <c r="C181" t="s">
        <v>11</v>
      </c>
      <c r="D181" t="s">
        <v>60</v>
      </c>
      <c r="E181">
        <f>114/1000</f>
        <v>0.114</v>
      </c>
      <c r="F181" t="s">
        <v>63</v>
      </c>
    </row>
    <row r="182" spans="1:6" x14ac:dyDescent="0.35">
      <c r="A182" t="s">
        <v>56</v>
      </c>
      <c r="B182" t="s">
        <v>84</v>
      </c>
      <c r="C182" t="s">
        <v>9</v>
      </c>
      <c r="D182" t="s">
        <v>69</v>
      </c>
      <c r="E182" s="3" t="s">
        <v>115</v>
      </c>
      <c r="F182" t="s">
        <v>114</v>
      </c>
    </row>
    <row r="183" spans="1:6" x14ac:dyDescent="0.35">
      <c r="A183" t="s">
        <v>56</v>
      </c>
      <c r="B183" t="s">
        <v>84</v>
      </c>
      <c r="C183" t="s">
        <v>9</v>
      </c>
      <c r="D183" t="s">
        <v>67</v>
      </c>
      <c r="E183" s="3" t="s">
        <v>115</v>
      </c>
      <c r="F183" t="s">
        <v>114</v>
      </c>
    </row>
    <row r="184" spans="1:6" x14ac:dyDescent="0.35">
      <c r="A184" t="s">
        <v>56</v>
      </c>
      <c r="B184" t="s">
        <v>84</v>
      </c>
      <c r="C184" t="s">
        <v>9</v>
      </c>
      <c r="D184" t="s">
        <v>65</v>
      </c>
      <c r="E184" s="3" t="s">
        <v>115</v>
      </c>
      <c r="F184" t="s">
        <v>114</v>
      </c>
    </row>
    <row r="185" spans="1:6" x14ac:dyDescent="0.35">
      <c r="A185" t="s">
        <v>56</v>
      </c>
      <c r="B185" t="s">
        <v>84</v>
      </c>
      <c r="C185" t="s">
        <v>9</v>
      </c>
      <c r="D185" t="s">
        <v>68</v>
      </c>
      <c r="E185" s="3" t="s">
        <v>115</v>
      </c>
      <c r="F185" t="s">
        <v>114</v>
      </c>
    </row>
    <row r="186" spans="1:6" x14ac:dyDescent="0.35">
      <c r="A186" t="s">
        <v>56</v>
      </c>
      <c r="B186" t="s">
        <v>84</v>
      </c>
      <c r="C186" t="s">
        <v>9</v>
      </c>
      <c r="D186" t="s">
        <v>66</v>
      </c>
      <c r="E186" s="3" t="s">
        <v>115</v>
      </c>
      <c r="F186" t="s">
        <v>114</v>
      </c>
    </row>
    <row r="187" spans="1:6" x14ac:dyDescent="0.35">
      <c r="A187" t="s">
        <v>56</v>
      </c>
      <c r="B187" t="s">
        <v>84</v>
      </c>
      <c r="C187" t="s">
        <v>8</v>
      </c>
      <c r="D187" t="s">
        <v>39</v>
      </c>
      <c r="E187">
        <v>1</v>
      </c>
      <c r="F187" t="s">
        <v>54</v>
      </c>
    </row>
    <row r="188" spans="1:6" x14ac:dyDescent="0.35">
      <c r="A188" t="s">
        <v>56</v>
      </c>
      <c r="B188" t="s">
        <v>84</v>
      </c>
      <c r="C188" t="s">
        <v>8</v>
      </c>
      <c r="D188" t="s">
        <v>70</v>
      </c>
      <c r="E188">
        <v>1</v>
      </c>
      <c r="F188" t="s">
        <v>54</v>
      </c>
    </row>
    <row r="189" spans="1:6" x14ac:dyDescent="0.35">
      <c r="A189" t="s">
        <v>56</v>
      </c>
      <c r="B189" t="s">
        <v>84</v>
      </c>
      <c r="C189" t="s">
        <v>8</v>
      </c>
      <c r="D189" t="s">
        <v>71</v>
      </c>
      <c r="E189">
        <v>1</v>
      </c>
      <c r="F189" t="s">
        <v>54</v>
      </c>
    </row>
    <row r="190" spans="1:6" x14ac:dyDescent="0.35">
      <c r="A190" t="s">
        <v>56</v>
      </c>
      <c r="B190" t="s">
        <v>84</v>
      </c>
      <c r="C190" t="s">
        <v>12</v>
      </c>
      <c r="D190" t="s">
        <v>39</v>
      </c>
      <c r="E190">
        <v>4.41</v>
      </c>
      <c r="F190" t="s">
        <v>63</v>
      </c>
    </row>
    <row r="191" spans="1:6" x14ac:dyDescent="0.35">
      <c r="A191" t="s">
        <v>56</v>
      </c>
      <c r="B191" t="s">
        <v>84</v>
      </c>
      <c r="C191" t="s">
        <v>12</v>
      </c>
      <c r="D191" t="s">
        <v>70</v>
      </c>
      <c r="E191">
        <v>1</v>
      </c>
      <c r="F191" t="s">
        <v>63</v>
      </c>
    </row>
    <row r="192" spans="1:6" x14ac:dyDescent="0.35">
      <c r="A192" t="s">
        <v>56</v>
      </c>
      <c r="B192" t="s">
        <v>84</v>
      </c>
      <c r="C192" t="s">
        <v>12</v>
      </c>
      <c r="D192" t="s">
        <v>71</v>
      </c>
      <c r="E192">
        <v>1.03</v>
      </c>
      <c r="F192" t="s">
        <v>63</v>
      </c>
    </row>
    <row r="193" spans="1:6" x14ac:dyDescent="0.35">
      <c r="A193" t="s">
        <v>56</v>
      </c>
      <c r="B193" t="s">
        <v>84</v>
      </c>
      <c r="C193" t="s">
        <v>10</v>
      </c>
      <c r="D193" t="s">
        <v>53</v>
      </c>
      <c r="E193">
        <v>1</v>
      </c>
      <c r="F193" t="s">
        <v>54</v>
      </c>
    </row>
    <row r="194" spans="1:6" x14ac:dyDescent="0.35">
      <c r="A194" t="s">
        <v>56</v>
      </c>
      <c r="B194" t="s">
        <v>78</v>
      </c>
      <c r="C194" t="s">
        <v>6</v>
      </c>
      <c r="D194" t="s">
        <v>57</v>
      </c>
      <c r="E194">
        <v>183718</v>
      </c>
      <c r="F194" t="s">
        <v>61</v>
      </c>
    </row>
    <row r="195" spans="1:6" x14ac:dyDescent="0.35">
      <c r="A195" t="s">
        <v>56</v>
      </c>
      <c r="B195" t="s">
        <v>78</v>
      </c>
      <c r="C195" t="s">
        <v>6</v>
      </c>
      <c r="D195" t="s">
        <v>59</v>
      </c>
      <c r="E195">
        <v>2471</v>
      </c>
      <c r="F195" t="s">
        <v>61</v>
      </c>
    </row>
    <row r="196" spans="1:6" x14ac:dyDescent="0.35">
      <c r="A196" t="s">
        <v>56</v>
      </c>
      <c r="B196" t="s">
        <v>78</v>
      </c>
      <c r="C196" t="s">
        <v>6</v>
      </c>
      <c r="D196" t="s">
        <v>58</v>
      </c>
      <c r="E196">
        <v>360</v>
      </c>
      <c r="F196" t="s">
        <v>61</v>
      </c>
    </row>
    <row r="197" spans="1:6" x14ac:dyDescent="0.35">
      <c r="A197" t="s">
        <v>56</v>
      </c>
      <c r="B197" t="s">
        <v>78</v>
      </c>
      <c r="C197" t="s">
        <v>6</v>
      </c>
      <c r="D197" t="s">
        <v>60</v>
      </c>
      <c r="E197">
        <v>183718</v>
      </c>
      <c r="F197" t="s">
        <v>61</v>
      </c>
    </row>
    <row r="198" spans="1:6" x14ac:dyDescent="0.35">
      <c r="A198" t="s">
        <v>56</v>
      </c>
      <c r="B198" t="s">
        <v>78</v>
      </c>
      <c r="C198" t="s">
        <v>7</v>
      </c>
      <c r="D198" t="s">
        <v>57</v>
      </c>
      <c r="E198">
        <v>1</v>
      </c>
      <c r="F198" t="s">
        <v>62</v>
      </c>
    </row>
    <row r="199" spans="1:6" x14ac:dyDescent="0.35">
      <c r="A199" t="s">
        <v>56</v>
      </c>
      <c r="B199" t="s">
        <v>78</v>
      </c>
      <c r="C199" t="s">
        <v>7</v>
      </c>
      <c r="D199" t="s">
        <v>59</v>
      </c>
      <c r="E199">
        <v>1</v>
      </c>
      <c r="F199" t="s">
        <v>62</v>
      </c>
    </row>
    <row r="200" spans="1:6" x14ac:dyDescent="0.35">
      <c r="A200" t="s">
        <v>56</v>
      </c>
      <c r="B200" t="s">
        <v>78</v>
      </c>
      <c r="C200" t="s">
        <v>7</v>
      </c>
      <c r="D200" t="s">
        <v>58</v>
      </c>
      <c r="E200">
        <v>1</v>
      </c>
      <c r="F200" t="s">
        <v>62</v>
      </c>
    </row>
    <row r="201" spans="1:6" x14ac:dyDescent="0.35">
      <c r="A201" t="s">
        <v>56</v>
      </c>
      <c r="B201" t="s">
        <v>78</v>
      </c>
      <c r="C201" t="s">
        <v>7</v>
      </c>
      <c r="D201" t="s">
        <v>60</v>
      </c>
      <c r="E201">
        <v>1</v>
      </c>
      <c r="F201" t="s">
        <v>62</v>
      </c>
    </row>
    <row r="202" spans="1:6" x14ac:dyDescent="0.35">
      <c r="A202" t="s">
        <v>56</v>
      </c>
      <c r="B202" t="s">
        <v>78</v>
      </c>
      <c r="C202" t="s">
        <v>11</v>
      </c>
      <c r="D202" t="s">
        <v>57</v>
      </c>
      <c r="E202">
        <f>114/1000</f>
        <v>0.114</v>
      </c>
      <c r="F202" t="s">
        <v>63</v>
      </c>
    </row>
    <row r="203" spans="1:6" x14ac:dyDescent="0.35">
      <c r="A203" t="s">
        <v>56</v>
      </c>
      <c r="B203" t="s">
        <v>78</v>
      </c>
      <c r="C203" t="s">
        <v>11</v>
      </c>
      <c r="D203" t="s">
        <v>59</v>
      </c>
      <c r="E203">
        <f>0.22/1000</f>
        <v>2.2000000000000001E-4</v>
      </c>
      <c r="F203" t="s">
        <v>63</v>
      </c>
    </row>
    <row r="204" spans="1:6" x14ac:dyDescent="0.35">
      <c r="A204" t="s">
        <v>56</v>
      </c>
      <c r="B204" t="s">
        <v>78</v>
      </c>
      <c r="C204" t="s">
        <v>11</v>
      </c>
      <c r="D204" t="s">
        <v>58</v>
      </c>
      <c r="E204">
        <f>0.22/1000</f>
        <v>2.2000000000000001E-4</v>
      </c>
      <c r="F204" t="s">
        <v>63</v>
      </c>
    </row>
    <row r="205" spans="1:6" x14ac:dyDescent="0.35">
      <c r="A205" t="s">
        <v>56</v>
      </c>
      <c r="B205" t="s">
        <v>78</v>
      </c>
      <c r="C205" t="s">
        <v>11</v>
      </c>
      <c r="D205" t="s">
        <v>60</v>
      </c>
      <c r="E205">
        <f>114/1000</f>
        <v>0.114</v>
      </c>
      <c r="F205" t="s">
        <v>63</v>
      </c>
    </row>
    <row r="206" spans="1:6" x14ac:dyDescent="0.35">
      <c r="A206" t="s">
        <v>56</v>
      </c>
      <c r="B206" t="s">
        <v>78</v>
      </c>
      <c r="C206" t="s">
        <v>9</v>
      </c>
      <c r="D206" t="s">
        <v>69</v>
      </c>
      <c r="E206" s="3" t="s">
        <v>115</v>
      </c>
      <c r="F206" t="s">
        <v>114</v>
      </c>
    </row>
    <row r="207" spans="1:6" x14ac:dyDescent="0.35">
      <c r="A207" t="s">
        <v>56</v>
      </c>
      <c r="B207" t="s">
        <v>78</v>
      </c>
      <c r="C207" t="s">
        <v>9</v>
      </c>
      <c r="D207" t="s">
        <v>67</v>
      </c>
      <c r="E207" s="3" t="s">
        <v>115</v>
      </c>
      <c r="F207" t="s">
        <v>114</v>
      </c>
    </row>
    <row r="208" spans="1:6" x14ac:dyDescent="0.35">
      <c r="A208" t="s">
        <v>56</v>
      </c>
      <c r="B208" t="s">
        <v>78</v>
      </c>
      <c r="C208" t="s">
        <v>9</v>
      </c>
      <c r="D208" t="s">
        <v>65</v>
      </c>
      <c r="E208" s="3" t="s">
        <v>115</v>
      </c>
      <c r="F208" t="s">
        <v>114</v>
      </c>
    </row>
    <row r="209" spans="1:6" x14ac:dyDescent="0.35">
      <c r="A209" t="s">
        <v>56</v>
      </c>
      <c r="B209" t="s">
        <v>78</v>
      </c>
      <c r="C209" t="s">
        <v>9</v>
      </c>
      <c r="D209" t="s">
        <v>68</v>
      </c>
      <c r="E209" s="3" t="s">
        <v>115</v>
      </c>
      <c r="F209" t="s">
        <v>114</v>
      </c>
    </row>
    <row r="210" spans="1:6" x14ac:dyDescent="0.35">
      <c r="A210" t="s">
        <v>56</v>
      </c>
      <c r="B210" t="s">
        <v>78</v>
      </c>
      <c r="C210" t="s">
        <v>9</v>
      </c>
      <c r="D210" t="s">
        <v>66</v>
      </c>
      <c r="E210" s="3" t="s">
        <v>115</v>
      </c>
      <c r="F210" t="s">
        <v>114</v>
      </c>
    </row>
    <row r="211" spans="1:6" x14ac:dyDescent="0.35">
      <c r="A211" t="s">
        <v>56</v>
      </c>
      <c r="B211" t="s">
        <v>78</v>
      </c>
      <c r="C211" t="s">
        <v>8</v>
      </c>
      <c r="D211" t="s">
        <v>39</v>
      </c>
      <c r="E211">
        <v>1</v>
      </c>
      <c r="F211" t="s">
        <v>54</v>
      </c>
    </row>
    <row r="212" spans="1:6" x14ac:dyDescent="0.35">
      <c r="A212" t="s">
        <v>56</v>
      </c>
      <c r="B212" t="s">
        <v>78</v>
      </c>
      <c r="C212" t="s">
        <v>8</v>
      </c>
      <c r="D212" t="s">
        <v>70</v>
      </c>
      <c r="E212">
        <v>1</v>
      </c>
      <c r="F212" t="s">
        <v>54</v>
      </c>
    </row>
    <row r="213" spans="1:6" x14ac:dyDescent="0.35">
      <c r="A213" t="s">
        <v>56</v>
      </c>
      <c r="B213" t="s">
        <v>78</v>
      </c>
      <c r="C213" t="s">
        <v>8</v>
      </c>
      <c r="D213" t="s">
        <v>71</v>
      </c>
      <c r="E213">
        <v>1</v>
      </c>
      <c r="F213" t="s">
        <v>54</v>
      </c>
    </row>
    <row r="214" spans="1:6" x14ac:dyDescent="0.35">
      <c r="A214" t="s">
        <v>56</v>
      </c>
      <c r="B214" t="s">
        <v>78</v>
      </c>
      <c r="C214" t="s">
        <v>12</v>
      </c>
      <c r="D214" t="s">
        <v>39</v>
      </c>
      <c r="E214">
        <v>4.41</v>
      </c>
      <c r="F214" t="s">
        <v>63</v>
      </c>
    </row>
    <row r="215" spans="1:6" x14ac:dyDescent="0.35">
      <c r="A215" t="s">
        <v>56</v>
      </c>
      <c r="B215" t="s">
        <v>78</v>
      </c>
      <c r="C215" t="s">
        <v>12</v>
      </c>
      <c r="D215" t="s">
        <v>70</v>
      </c>
      <c r="E215">
        <v>1</v>
      </c>
      <c r="F215" t="s">
        <v>63</v>
      </c>
    </row>
    <row r="216" spans="1:6" x14ac:dyDescent="0.35">
      <c r="A216" t="s">
        <v>56</v>
      </c>
      <c r="B216" t="s">
        <v>78</v>
      </c>
      <c r="C216" t="s">
        <v>12</v>
      </c>
      <c r="D216" t="s">
        <v>71</v>
      </c>
      <c r="E216">
        <v>1.03</v>
      </c>
      <c r="F216" t="s">
        <v>63</v>
      </c>
    </row>
    <row r="217" spans="1:6" x14ac:dyDescent="0.35">
      <c r="A217" t="s">
        <v>56</v>
      </c>
      <c r="B217" t="s">
        <v>78</v>
      </c>
      <c r="C217" t="s">
        <v>10</v>
      </c>
      <c r="D217" t="s">
        <v>53</v>
      </c>
      <c r="E217">
        <v>1</v>
      </c>
      <c r="F217" t="s">
        <v>54</v>
      </c>
    </row>
    <row r="218" spans="1:6" x14ac:dyDescent="0.35">
      <c r="A218" t="s">
        <v>56</v>
      </c>
      <c r="B218" t="s">
        <v>80</v>
      </c>
      <c r="C218" t="s">
        <v>6</v>
      </c>
      <c r="D218" t="s">
        <v>57</v>
      </c>
      <c r="E218">
        <v>183718</v>
      </c>
      <c r="F218" t="s">
        <v>61</v>
      </c>
    </row>
    <row r="219" spans="1:6" x14ac:dyDescent="0.35">
      <c r="A219" t="s">
        <v>56</v>
      </c>
      <c r="B219" t="s">
        <v>80</v>
      </c>
      <c r="C219" t="s">
        <v>6</v>
      </c>
      <c r="D219" t="s">
        <v>59</v>
      </c>
      <c r="E219">
        <v>2471</v>
      </c>
      <c r="F219" t="s">
        <v>61</v>
      </c>
    </row>
    <row r="220" spans="1:6" x14ac:dyDescent="0.35">
      <c r="A220" t="s">
        <v>56</v>
      </c>
      <c r="B220" t="s">
        <v>80</v>
      </c>
      <c r="C220" t="s">
        <v>6</v>
      </c>
      <c r="D220" t="s">
        <v>58</v>
      </c>
      <c r="E220">
        <v>360</v>
      </c>
      <c r="F220" t="s">
        <v>61</v>
      </c>
    </row>
    <row r="221" spans="1:6" x14ac:dyDescent="0.35">
      <c r="A221" t="s">
        <v>56</v>
      </c>
      <c r="B221" t="s">
        <v>80</v>
      </c>
      <c r="C221" t="s">
        <v>6</v>
      </c>
      <c r="D221" t="s">
        <v>60</v>
      </c>
      <c r="E221">
        <v>183718</v>
      </c>
      <c r="F221" t="s">
        <v>61</v>
      </c>
    </row>
    <row r="222" spans="1:6" x14ac:dyDescent="0.35">
      <c r="A222" t="s">
        <v>56</v>
      </c>
      <c r="B222" t="s">
        <v>80</v>
      </c>
      <c r="C222" t="s">
        <v>7</v>
      </c>
      <c r="D222" t="s">
        <v>57</v>
      </c>
      <c r="E222">
        <v>1</v>
      </c>
      <c r="F222" t="s">
        <v>62</v>
      </c>
    </row>
    <row r="223" spans="1:6" x14ac:dyDescent="0.35">
      <c r="A223" t="s">
        <v>56</v>
      </c>
      <c r="B223" t="s">
        <v>80</v>
      </c>
      <c r="C223" t="s">
        <v>7</v>
      </c>
      <c r="D223" t="s">
        <v>59</v>
      </c>
      <c r="E223">
        <v>1</v>
      </c>
      <c r="F223" t="s">
        <v>62</v>
      </c>
    </row>
    <row r="224" spans="1:6" x14ac:dyDescent="0.35">
      <c r="A224" t="s">
        <v>56</v>
      </c>
      <c r="B224" t="s">
        <v>80</v>
      </c>
      <c r="C224" t="s">
        <v>7</v>
      </c>
      <c r="D224" t="s">
        <v>58</v>
      </c>
      <c r="E224">
        <v>1</v>
      </c>
      <c r="F224" t="s">
        <v>62</v>
      </c>
    </row>
    <row r="225" spans="1:6" x14ac:dyDescent="0.35">
      <c r="A225" t="s">
        <v>56</v>
      </c>
      <c r="B225" t="s">
        <v>80</v>
      </c>
      <c r="C225" t="s">
        <v>7</v>
      </c>
      <c r="D225" t="s">
        <v>60</v>
      </c>
      <c r="E225">
        <v>1</v>
      </c>
      <c r="F225" t="s">
        <v>62</v>
      </c>
    </row>
    <row r="226" spans="1:6" x14ac:dyDescent="0.35">
      <c r="A226" t="s">
        <v>56</v>
      </c>
      <c r="B226" t="s">
        <v>80</v>
      </c>
      <c r="C226" t="s">
        <v>11</v>
      </c>
      <c r="D226" t="s">
        <v>57</v>
      </c>
      <c r="E226">
        <f>114/1000</f>
        <v>0.114</v>
      </c>
      <c r="F226" t="s">
        <v>63</v>
      </c>
    </row>
    <row r="227" spans="1:6" x14ac:dyDescent="0.35">
      <c r="A227" t="s">
        <v>56</v>
      </c>
      <c r="B227" t="s">
        <v>80</v>
      </c>
      <c r="C227" t="s">
        <v>11</v>
      </c>
      <c r="D227" t="s">
        <v>59</v>
      </c>
      <c r="E227">
        <f>0.22/1000</f>
        <v>2.2000000000000001E-4</v>
      </c>
      <c r="F227" t="s">
        <v>63</v>
      </c>
    </row>
    <row r="228" spans="1:6" x14ac:dyDescent="0.35">
      <c r="A228" t="s">
        <v>56</v>
      </c>
      <c r="B228" t="s">
        <v>80</v>
      </c>
      <c r="C228" t="s">
        <v>11</v>
      </c>
      <c r="D228" t="s">
        <v>58</v>
      </c>
      <c r="E228">
        <f>0.22/1000</f>
        <v>2.2000000000000001E-4</v>
      </c>
      <c r="F228" t="s">
        <v>63</v>
      </c>
    </row>
    <row r="229" spans="1:6" x14ac:dyDescent="0.35">
      <c r="A229" t="s">
        <v>56</v>
      </c>
      <c r="B229" t="s">
        <v>80</v>
      </c>
      <c r="C229" t="s">
        <v>11</v>
      </c>
      <c r="D229" t="s">
        <v>60</v>
      </c>
      <c r="E229">
        <f>114/1000</f>
        <v>0.114</v>
      </c>
      <c r="F229" t="s">
        <v>63</v>
      </c>
    </row>
    <row r="230" spans="1:6" x14ac:dyDescent="0.35">
      <c r="A230" t="s">
        <v>56</v>
      </c>
      <c r="B230" t="s">
        <v>80</v>
      </c>
      <c r="C230" t="s">
        <v>9</v>
      </c>
      <c r="D230" t="s">
        <v>69</v>
      </c>
      <c r="E230" s="3" t="s">
        <v>115</v>
      </c>
      <c r="F230" t="s">
        <v>114</v>
      </c>
    </row>
    <row r="231" spans="1:6" x14ac:dyDescent="0.35">
      <c r="A231" t="s">
        <v>56</v>
      </c>
      <c r="B231" t="s">
        <v>80</v>
      </c>
      <c r="C231" t="s">
        <v>9</v>
      </c>
      <c r="D231" t="s">
        <v>67</v>
      </c>
      <c r="E231" s="3" t="s">
        <v>115</v>
      </c>
      <c r="F231" t="s">
        <v>114</v>
      </c>
    </row>
    <row r="232" spans="1:6" x14ac:dyDescent="0.35">
      <c r="A232" t="s">
        <v>56</v>
      </c>
      <c r="B232" t="s">
        <v>80</v>
      </c>
      <c r="C232" t="s">
        <v>9</v>
      </c>
      <c r="D232" t="s">
        <v>65</v>
      </c>
      <c r="E232" s="3" t="s">
        <v>115</v>
      </c>
      <c r="F232" t="s">
        <v>114</v>
      </c>
    </row>
    <row r="233" spans="1:6" x14ac:dyDescent="0.35">
      <c r="A233" t="s">
        <v>56</v>
      </c>
      <c r="B233" t="s">
        <v>80</v>
      </c>
      <c r="C233" t="s">
        <v>9</v>
      </c>
      <c r="D233" t="s">
        <v>68</v>
      </c>
      <c r="E233" s="3" t="s">
        <v>115</v>
      </c>
      <c r="F233" t="s">
        <v>114</v>
      </c>
    </row>
    <row r="234" spans="1:6" x14ac:dyDescent="0.35">
      <c r="A234" t="s">
        <v>56</v>
      </c>
      <c r="B234" t="s">
        <v>80</v>
      </c>
      <c r="C234" t="s">
        <v>9</v>
      </c>
      <c r="D234" t="s">
        <v>66</v>
      </c>
      <c r="E234" s="3" t="s">
        <v>115</v>
      </c>
      <c r="F234" t="s">
        <v>114</v>
      </c>
    </row>
    <row r="235" spans="1:6" x14ac:dyDescent="0.35">
      <c r="A235" t="s">
        <v>56</v>
      </c>
      <c r="B235" t="s">
        <v>80</v>
      </c>
      <c r="C235" t="s">
        <v>8</v>
      </c>
      <c r="D235" t="s">
        <v>39</v>
      </c>
      <c r="E235">
        <v>1</v>
      </c>
      <c r="F235" t="s">
        <v>54</v>
      </c>
    </row>
    <row r="236" spans="1:6" x14ac:dyDescent="0.35">
      <c r="A236" t="s">
        <v>56</v>
      </c>
      <c r="B236" t="s">
        <v>80</v>
      </c>
      <c r="C236" t="s">
        <v>8</v>
      </c>
      <c r="D236" t="s">
        <v>70</v>
      </c>
      <c r="E236">
        <v>1</v>
      </c>
      <c r="F236" t="s">
        <v>54</v>
      </c>
    </row>
    <row r="237" spans="1:6" x14ac:dyDescent="0.35">
      <c r="A237" t="s">
        <v>56</v>
      </c>
      <c r="B237" t="s">
        <v>80</v>
      </c>
      <c r="C237" t="s">
        <v>8</v>
      </c>
      <c r="D237" t="s">
        <v>71</v>
      </c>
      <c r="E237">
        <v>1</v>
      </c>
      <c r="F237" t="s">
        <v>54</v>
      </c>
    </row>
    <row r="238" spans="1:6" x14ac:dyDescent="0.35">
      <c r="A238" t="s">
        <v>56</v>
      </c>
      <c r="B238" t="s">
        <v>80</v>
      </c>
      <c r="C238" t="s">
        <v>12</v>
      </c>
      <c r="D238" t="s">
        <v>39</v>
      </c>
      <c r="E238">
        <v>4.41</v>
      </c>
      <c r="F238" t="s">
        <v>63</v>
      </c>
    </row>
    <row r="239" spans="1:6" x14ac:dyDescent="0.35">
      <c r="A239" t="s">
        <v>56</v>
      </c>
      <c r="B239" t="s">
        <v>80</v>
      </c>
      <c r="C239" t="s">
        <v>12</v>
      </c>
      <c r="D239" t="s">
        <v>70</v>
      </c>
      <c r="E239">
        <v>1</v>
      </c>
      <c r="F239" t="s">
        <v>63</v>
      </c>
    </row>
    <row r="240" spans="1:6" x14ac:dyDescent="0.35">
      <c r="A240" t="s">
        <v>56</v>
      </c>
      <c r="B240" t="s">
        <v>80</v>
      </c>
      <c r="C240" t="s">
        <v>12</v>
      </c>
      <c r="D240" t="s">
        <v>71</v>
      </c>
      <c r="E240">
        <v>1.03</v>
      </c>
      <c r="F240" t="s">
        <v>63</v>
      </c>
    </row>
    <row r="241" spans="1:6" x14ac:dyDescent="0.35">
      <c r="A241" t="s">
        <v>56</v>
      </c>
      <c r="B241" t="s">
        <v>80</v>
      </c>
      <c r="C241" t="s">
        <v>10</v>
      </c>
      <c r="D241" t="s">
        <v>53</v>
      </c>
      <c r="E241">
        <v>1</v>
      </c>
      <c r="F241" t="s">
        <v>54</v>
      </c>
    </row>
    <row r="242" spans="1:6" x14ac:dyDescent="0.35">
      <c r="A242" t="s">
        <v>56</v>
      </c>
      <c r="B242" t="s">
        <v>74</v>
      </c>
      <c r="C242" t="s">
        <v>6</v>
      </c>
      <c r="D242" t="s">
        <v>57</v>
      </c>
      <c r="E242">
        <v>183718</v>
      </c>
      <c r="F242" t="s">
        <v>61</v>
      </c>
    </row>
    <row r="243" spans="1:6" x14ac:dyDescent="0.35">
      <c r="A243" t="s">
        <v>56</v>
      </c>
      <c r="B243" t="s">
        <v>74</v>
      </c>
      <c r="C243" t="s">
        <v>6</v>
      </c>
      <c r="D243" t="s">
        <v>59</v>
      </c>
      <c r="E243">
        <v>2471</v>
      </c>
      <c r="F243" t="s">
        <v>61</v>
      </c>
    </row>
    <row r="244" spans="1:6" x14ac:dyDescent="0.35">
      <c r="A244" t="s">
        <v>56</v>
      </c>
      <c r="B244" t="s">
        <v>74</v>
      </c>
      <c r="C244" t="s">
        <v>6</v>
      </c>
      <c r="D244" t="s">
        <v>58</v>
      </c>
      <c r="E244">
        <v>360</v>
      </c>
      <c r="F244" t="s">
        <v>61</v>
      </c>
    </row>
    <row r="245" spans="1:6" x14ac:dyDescent="0.35">
      <c r="A245" t="s">
        <v>56</v>
      </c>
      <c r="B245" t="s">
        <v>74</v>
      </c>
      <c r="C245" t="s">
        <v>6</v>
      </c>
      <c r="D245" t="s">
        <v>60</v>
      </c>
      <c r="E245">
        <v>183718</v>
      </c>
      <c r="F245" t="s">
        <v>61</v>
      </c>
    </row>
    <row r="246" spans="1:6" x14ac:dyDescent="0.35">
      <c r="A246" t="s">
        <v>56</v>
      </c>
      <c r="B246" t="s">
        <v>74</v>
      </c>
      <c r="C246" t="s">
        <v>7</v>
      </c>
      <c r="D246" t="s">
        <v>57</v>
      </c>
      <c r="E246">
        <v>1</v>
      </c>
      <c r="F246" t="s">
        <v>62</v>
      </c>
    </row>
    <row r="247" spans="1:6" x14ac:dyDescent="0.35">
      <c r="A247" t="s">
        <v>56</v>
      </c>
      <c r="B247" t="s">
        <v>74</v>
      </c>
      <c r="C247" t="s">
        <v>7</v>
      </c>
      <c r="D247" t="s">
        <v>59</v>
      </c>
      <c r="E247">
        <v>1</v>
      </c>
      <c r="F247" t="s">
        <v>62</v>
      </c>
    </row>
    <row r="248" spans="1:6" x14ac:dyDescent="0.35">
      <c r="A248" t="s">
        <v>56</v>
      </c>
      <c r="B248" t="s">
        <v>74</v>
      </c>
      <c r="C248" t="s">
        <v>7</v>
      </c>
      <c r="D248" t="s">
        <v>58</v>
      </c>
      <c r="E248">
        <v>1</v>
      </c>
      <c r="F248" t="s">
        <v>62</v>
      </c>
    </row>
    <row r="249" spans="1:6" x14ac:dyDescent="0.35">
      <c r="A249" t="s">
        <v>56</v>
      </c>
      <c r="B249" t="s">
        <v>74</v>
      </c>
      <c r="C249" t="s">
        <v>7</v>
      </c>
      <c r="D249" t="s">
        <v>60</v>
      </c>
      <c r="E249">
        <v>1</v>
      </c>
      <c r="F249" t="s">
        <v>62</v>
      </c>
    </row>
    <row r="250" spans="1:6" x14ac:dyDescent="0.35">
      <c r="A250" t="s">
        <v>56</v>
      </c>
      <c r="B250" t="s">
        <v>74</v>
      </c>
      <c r="C250" t="s">
        <v>11</v>
      </c>
      <c r="D250" t="s">
        <v>57</v>
      </c>
      <c r="E250">
        <f>114/1000</f>
        <v>0.114</v>
      </c>
      <c r="F250" t="s">
        <v>63</v>
      </c>
    </row>
    <row r="251" spans="1:6" x14ac:dyDescent="0.35">
      <c r="A251" t="s">
        <v>56</v>
      </c>
      <c r="B251" t="s">
        <v>74</v>
      </c>
      <c r="C251" t="s">
        <v>11</v>
      </c>
      <c r="D251" t="s">
        <v>59</v>
      </c>
      <c r="E251">
        <f>0.22/1000</f>
        <v>2.2000000000000001E-4</v>
      </c>
      <c r="F251" t="s">
        <v>63</v>
      </c>
    </row>
    <row r="252" spans="1:6" x14ac:dyDescent="0.35">
      <c r="A252" t="s">
        <v>56</v>
      </c>
      <c r="B252" t="s">
        <v>74</v>
      </c>
      <c r="C252" t="s">
        <v>11</v>
      </c>
      <c r="D252" t="s">
        <v>58</v>
      </c>
      <c r="E252">
        <f>0.22/1000</f>
        <v>2.2000000000000001E-4</v>
      </c>
      <c r="F252" t="s">
        <v>63</v>
      </c>
    </row>
    <row r="253" spans="1:6" x14ac:dyDescent="0.35">
      <c r="A253" t="s">
        <v>56</v>
      </c>
      <c r="B253" t="s">
        <v>74</v>
      </c>
      <c r="C253" t="s">
        <v>11</v>
      </c>
      <c r="D253" t="s">
        <v>60</v>
      </c>
      <c r="E253">
        <f>114/1000</f>
        <v>0.114</v>
      </c>
      <c r="F253" t="s">
        <v>63</v>
      </c>
    </row>
    <row r="254" spans="1:6" x14ac:dyDescent="0.35">
      <c r="A254" t="s">
        <v>56</v>
      </c>
      <c r="B254" t="s">
        <v>74</v>
      </c>
      <c r="C254" t="s">
        <v>9</v>
      </c>
      <c r="D254" t="s">
        <v>69</v>
      </c>
      <c r="E254" s="3" t="s">
        <v>115</v>
      </c>
      <c r="F254" t="s">
        <v>114</v>
      </c>
    </row>
    <row r="255" spans="1:6" x14ac:dyDescent="0.35">
      <c r="A255" t="s">
        <v>56</v>
      </c>
      <c r="B255" t="s">
        <v>74</v>
      </c>
      <c r="C255" t="s">
        <v>9</v>
      </c>
      <c r="D255" t="s">
        <v>67</v>
      </c>
      <c r="E255" s="3" t="s">
        <v>115</v>
      </c>
      <c r="F255" t="s">
        <v>114</v>
      </c>
    </row>
    <row r="256" spans="1:6" x14ac:dyDescent="0.35">
      <c r="A256" t="s">
        <v>56</v>
      </c>
      <c r="B256" t="s">
        <v>74</v>
      </c>
      <c r="C256" t="s">
        <v>9</v>
      </c>
      <c r="D256" t="s">
        <v>65</v>
      </c>
      <c r="E256" s="3" t="s">
        <v>115</v>
      </c>
      <c r="F256" t="s">
        <v>114</v>
      </c>
    </row>
    <row r="257" spans="1:6" x14ac:dyDescent="0.35">
      <c r="A257" t="s">
        <v>56</v>
      </c>
      <c r="B257" t="s">
        <v>74</v>
      </c>
      <c r="C257" t="s">
        <v>9</v>
      </c>
      <c r="D257" t="s">
        <v>68</v>
      </c>
      <c r="E257" s="3" t="s">
        <v>115</v>
      </c>
      <c r="F257" t="s">
        <v>114</v>
      </c>
    </row>
    <row r="258" spans="1:6" x14ac:dyDescent="0.35">
      <c r="A258" t="s">
        <v>56</v>
      </c>
      <c r="B258" t="s">
        <v>74</v>
      </c>
      <c r="C258" t="s">
        <v>9</v>
      </c>
      <c r="D258" t="s">
        <v>66</v>
      </c>
      <c r="E258" s="3" t="s">
        <v>115</v>
      </c>
      <c r="F258" t="s">
        <v>114</v>
      </c>
    </row>
    <row r="259" spans="1:6" x14ac:dyDescent="0.35">
      <c r="A259" t="s">
        <v>56</v>
      </c>
      <c r="B259" t="s">
        <v>74</v>
      </c>
      <c r="C259" t="s">
        <v>8</v>
      </c>
      <c r="D259" t="s">
        <v>39</v>
      </c>
      <c r="E259">
        <v>1</v>
      </c>
      <c r="F259" t="s">
        <v>54</v>
      </c>
    </row>
    <row r="260" spans="1:6" x14ac:dyDescent="0.35">
      <c r="A260" t="s">
        <v>56</v>
      </c>
      <c r="B260" t="s">
        <v>74</v>
      </c>
      <c r="C260" t="s">
        <v>8</v>
      </c>
      <c r="D260" t="s">
        <v>70</v>
      </c>
      <c r="E260">
        <v>1</v>
      </c>
      <c r="F260" t="s">
        <v>54</v>
      </c>
    </row>
    <row r="261" spans="1:6" x14ac:dyDescent="0.35">
      <c r="A261" t="s">
        <v>56</v>
      </c>
      <c r="B261" t="s">
        <v>74</v>
      </c>
      <c r="C261" t="s">
        <v>8</v>
      </c>
      <c r="D261" t="s">
        <v>71</v>
      </c>
      <c r="E261">
        <v>1</v>
      </c>
      <c r="F261" t="s">
        <v>54</v>
      </c>
    </row>
    <row r="262" spans="1:6" x14ac:dyDescent="0.35">
      <c r="A262" t="s">
        <v>56</v>
      </c>
      <c r="B262" t="s">
        <v>74</v>
      </c>
      <c r="C262" t="s">
        <v>12</v>
      </c>
      <c r="D262" t="s">
        <v>39</v>
      </c>
      <c r="E262">
        <v>4.41</v>
      </c>
      <c r="F262" t="s">
        <v>63</v>
      </c>
    </row>
    <row r="263" spans="1:6" x14ac:dyDescent="0.35">
      <c r="A263" t="s">
        <v>56</v>
      </c>
      <c r="B263" t="s">
        <v>74</v>
      </c>
      <c r="C263" t="s">
        <v>12</v>
      </c>
      <c r="D263" t="s">
        <v>70</v>
      </c>
      <c r="E263">
        <v>1</v>
      </c>
      <c r="F263" t="s">
        <v>63</v>
      </c>
    </row>
    <row r="264" spans="1:6" x14ac:dyDescent="0.35">
      <c r="A264" t="s">
        <v>56</v>
      </c>
      <c r="B264" t="s">
        <v>74</v>
      </c>
      <c r="C264" t="s">
        <v>12</v>
      </c>
      <c r="D264" t="s">
        <v>71</v>
      </c>
      <c r="E264">
        <v>1.03</v>
      </c>
      <c r="F264" t="s">
        <v>63</v>
      </c>
    </row>
    <row r="265" spans="1:6" x14ac:dyDescent="0.35">
      <c r="A265" t="s">
        <v>56</v>
      </c>
      <c r="B265" t="s">
        <v>74</v>
      </c>
      <c r="C265" t="s">
        <v>10</v>
      </c>
      <c r="D265" t="s">
        <v>53</v>
      </c>
      <c r="E265">
        <v>1</v>
      </c>
      <c r="F265" t="s">
        <v>54</v>
      </c>
    </row>
    <row r="266" spans="1:6" x14ac:dyDescent="0.35">
      <c r="A266" t="s">
        <v>56</v>
      </c>
      <c r="B266" t="s">
        <v>83</v>
      </c>
      <c r="C266" t="s">
        <v>6</v>
      </c>
      <c r="D266" t="s">
        <v>57</v>
      </c>
      <c r="E266">
        <v>183718</v>
      </c>
      <c r="F266" t="s">
        <v>61</v>
      </c>
    </row>
    <row r="267" spans="1:6" x14ac:dyDescent="0.35">
      <c r="A267" t="s">
        <v>56</v>
      </c>
      <c r="B267" t="s">
        <v>83</v>
      </c>
      <c r="C267" t="s">
        <v>6</v>
      </c>
      <c r="D267" t="s">
        <v>59</v>
      </c>
      <c r="E267">
        <v>2471</v>
      </c>
      <c r="F267" t="s">
        <v>61</v>
      </c>
    </row>
    <row r="268" spans="1:6" x14ac:dyDescent="0.35">
      <c r="A268" t="s">
        <v>56</v>
      </c>
      <c r="B268" t="s">
        <v>83</v>
      </c>
      <c r="C268" t="s">
        <v>6</v>
      </c>
      <c r="D268" t="s">
        <v>58</v>
      </c>
      <c r="E268">
        <v>360</v>
      </c>
      <c r="F268" t="s">
        <v>61</v>
      </c>
    </row>
    <row r="269" spans="1:6" x14ac:dyDescent="0.35">
      <c r="A269" t="s">
        <v>56</v>
      </c>
      <c r="B269" t="s">
        <v>83</v>
      </c>
      <c r="C269" t="s">
        <v>6</v>
      </c>
      <c r="D269" t="s">
        <v>60</v>
      </c>
      <c r="E269">
        <v>183718</v>
      </c>
      <c r="F269" t="s">
        <v>61</v>
      </c>
    </row>
    <row r="270" spans="1:6" x14ac:dyDescent="0.35">
      <c r="A270" t="s">
        <v>56</v>
      </c>
      <c r="B270" t="s">
        <v>83</v>
      </c>
      <c r="C270" t="s">
        <v>7</v>
      </c>
      <c r="D270" t="s">
        <v>57</v>
      </c>
      <c r="E270">
        <v>1</v>
      </c>
      <c r="F270" t="s">
        <v>62</v>
      </c>
    </row>
    <row r="271" spans="1:6" x14ac:dyDescent="0.35">
      <c r="A271" t="s">
        <v>56</v>
      </c>
      <c r="B271" t="s">
        <v>83</v>
      </c>
      <c r="C271" t="s">
        <v>7</v>
      </c>
      <c r="D271" t="s">
        <v>59</v>
      </c>
      <c r="E271">
        <v>1</v>
      </c>
      <c r="F271" t="s">
        <v>62</v>
      </c>
    </row>
    <row r="272" spans="1:6" x14ac:dyDescent="0.35">
      <c r="A272" t="s">
        <v>56</v>
      </c>
      <c r="B272" t="s">
        <v>83</v>
      </c>
      <c r="C272" t="s">
        <v>7</v>
      </c>
      <c r="D272" t="s">
        <v>58</v>
      </c>
      <c r="E272">
        <v>1</v>
      </c>
      <c r="F272" t="s">
        <v>62</v>
      </c>
    </row>
    <row r="273" spans="1:6" x14ac:dyDescent="0.35">
      <c r="A273" t="s">
        <v>56</v>
      </c>
      <c r="B273" t="s">
        <v>83</v>
      </c>
      <c r="C273" t="s">
        <v>7</v>
      </c>
      <c r="D273" t="s">
        <v>60</v>
      </c>
      <c r="E273">
        <v>1</v>
      </c>
      <c r="F273" t="s">
        <v>62</v>
      </c>
    </row>
    <row r="274" spans="1:6" x14ac:dyDescent="0.35">
      <c r="A274" t="s">
        <v>56</v>
      </c>
      <c r="B274" t="s">
        <v>83</v>
      </c>
      <c r="C274" t="s">
        <v>11</v>
      </c>
      <c r="D274" t="s">
        <v>57</v>
      </c>
      <c r="E274">
        <f>114/1000</f>
        <v>0.114</v>
      </c>
      <c r="F274" t="s">
        <v>63</v>
      </c>
    </row>
    <row r="275" spans="1:6" x14ac:dyDescent="0.35">
      <c r="A275" t="s">
        <v>56</v>
      </c>
      <c r="B275" t="s">
        <v>83</v>
      </c>
      <c r="C275" t="s">
        <v>11</v>
      </c>
      <c r="D275" t="s">
        <v>59</v>
      </c>
      <c r="E275">
        <f>0.22/1000</f>
        <v>2.2000000000000001E-4</v>
      </c>
      <c r="F275" t="s">
        <v>63</v>
      </c>
    </row>
    <row r="276" spans="1:6" x14ac:dyDescent="0.35">
      <c r="A276" t="s">
        <v>56</v>
      </c>
      <c r="B276" t="s">
        <v>83</v>
      </c>
      <c r="C276" t="s">
        <v>11</v>
      </c>
      <c r="D276" t="s">
        <v>58</v>
      </c>
      <c r="E276">
        <f>0.22/1000</f>
        <v>2.2000000000000001E-4</v>
      </c>
      <c r="F276" t="s">
        <v>63</v>
      </c>
    </row>
    <row r="277" spans="1:6" x14ac:dyDescent="0.35">
      <c r="A277" t="s">
        <v>56</v>
      </c>
      <c r="B277" t="s">
        <v>83</v>
      </c>
      <c r="C277" t="s">
        <v>11</v>
      </c>
      <c r="D277" t="s">
        <v>60</v>
      </c>
      <c r="E277">
        <f>114/1000</f>
        <v>0.114</v>
      </c>
      <c r="F277" t="s">
        <v>63</v>
      </c>
    </row>
    <row r="278" spans="1:6" x14ac:dyDescent="0.35">
      <c r="A278" t="s">
        <v>56</v>
      </c>
      <c r="B278" t="s">
        <v>83</v>
      </c>
      <c r="C278" t="s">
        <v>9</v>
      </c>
      <c r="D278" t="s">
        <v>69</v>
      </c>
      <c r="E278" s="3" t="s">
        <v>115</v>
      </c>
      <c r="F278" t="s">
        <v>114</v>
      </c>
    </row>
    <row r="279" spans="1:6" x14ac:dyDescent="0.35">
      <c r="A279" t="s">
        <v>56</v>
      </c>
      <c r="B279" t="s">
        <v>83</v>
      </c>
      <c r="C279" t="s">
        <v>9</v>
      </c>
      <c r="D279" t="s">
        <v>67</v>
      </c>
      <c r="E279" s="3" t="s">
        <v>115</v>
      </c>
      <c r="F279" t="s">
        <v>114</v>
      </c>
    </row>
    <row r="280" spans="1:6" x14ac:dyDescent="0.35">
      <c r="A280" t="s">
        <v>56</v>
      </c>
      <c r="B280" t="s">
        <v>83</v>
      </c>
      <c r="C280" t="s">
        <v>9</v>
      </c>
      <c r="D280" t="s">
        <v>65</v>
      </c>
      <c r="E280" s="3" t="s">
        <v>115</v>
      </c>
      <c r="F280" t="s">
        <v>114</v>
      </c>
    </row>
    <row r="281" spans="1:6" x14ac:dyDescent="0.35">
      <c r="A281" t="s">
        <v>56</v>
      </c>
      <c r="B281" t="s">
        <v>83</v>
      </c>
      <c r="C281" t="s">
        <v>9</v>
      </c>
      <c r="D281" t="s">
        <v>68</v>
      </c>
      <c r="E281" s="3" t="s">
        <v>115</v>
      </c>
      <c r="F281" t="s">
        <v>114</v>
      </c>
    </row>
    <row r="282" spans="1:6" x14ac:dyDescent="0.35">
      <c r="A282" t="s">
        <v>56</v>
      </c>
      <c r="B282" t="s">
        <v>83</v>
      </c>
      <c r="C282" t="s">
        <v>9</v>
      </c>
      <c r="D282" t="s">
        <v>66</v>
      </c>
      <c r="E282" s="3" t="s">
        <v>115</v>
      </c>
      <c r="F282" t="s">
        <v>114</v>
      </c>
    </row>
    <row r="283" spans="1:6" x14ac:dyDescent="0.35">
      <c r="A283" t="s">
        <v>56</v>
      </c>
      <c r="B283" t="s">
        <v>83</v>
      </c>
      <c r="C283" t="s">
        <v>8</v>
      </c>
      <c r="D283" t="s">
        <v>39</v>
      </c>
      <c r="E283">
        <v>1</v>
      </c>
      <c r="F283" t="s">
        <v>54</v>
      </c>
    </row>
    <row r="284" spans="1:6" x14ac:dyDescent="0.35">
      <c r="A284" t="s">
        <v>56</v>
      </c>
      <c r="B284" t="s">
        <v>83</v>
      </c>
      <c r="C284" t="s">
        <v>8</v>
      </c>
      <c r="D284" t="s">
        <v>70</v>
      </c>
      <c r="E284">
        <v>1</v>
      </c>
      <c r="F284" t="s">
        <v>54</v>
      </c>
    </row>
    <row r="285" spans="1:6" x14ac:dyDescent="0.35">
      <c r="A285" t="s">
        <v>56</v>
      </c>
      <c r="B285" t="s">
        <v>83</v>
      </c>
      <c r="C285" t="s">
        <v>8</v>
      </c>
      <c r="D285" t="s">
        <v>71</v>
      </c>
      <c r="E285">
        <v>1</v>
      </c>
      <c r="F285" t="s">
        <v>54</v>
      </c>
    </row>
    <row r="286" spans="1:6" x14ac:dyDescent="0.35">
      <c r="A286" t="s">
        <v>56</v>
      </c>
      <c r="B286" t="s">
        <v>83</v>
      </c>
      <c r="C286" t="s">
        <v>12</v>
      </c>
      <c r="D286" t="s">
        <v>39</v>
      </c>
      <c r="E286">
        <v>4.41</v>
      </c>
      <c r="F286" t="s">
        <v>63</v>
      </c>
    </row>
    <row r="287" spans="1:6" x14ac:dyDescent="0.35">
      <c r="A287" t="s">
        <v>56</v>
      </c>
      <c r="B287" t="s">
        <v>83</v>
      </c>
      <c r="C287" t="s">
        <v>12</v>
      </c>
      <c r="D287" t="s">
        <v>70</v>
      </c>
      <c r="E287">
        <v>1</v>
      </c>
      <c r="F287" t="s">
        <v>63</v>
      </c>
    </row>
    <row r="288" spans="1:6" x14ac:dyDescent="0.35">
      <c r="A288" t="s">
        <v>56</v>
      </c>
      <c r="B288" t="s">
        <v>83</v>
      </c>
      <c r="C288" t="s">
        <v>12</v>
      </c>
      <c r="D288" t="s">
        <v>71</v>
      </c>
      <c r="E288">
        <v>1.03</v>
      </c>
      <c r="F288" t="s">
        <v>63</v>
      </c>
    </row>
    <row r="289" spans="1:6" x14ac:dyDescent="0.35">
      <c r="A289" t="s">
        <v>56</v>
      </c>
      <c r="B289" t="s">
        <v>83</v>
      </c>
      <c r="C289" t="s">
        <v>10</v>
      </c>
      <c r="D289" t="s">
        <v>53</v>
      </c>
      <c r="E289">
        <v>1</v>
      </c>
      <c r="F289" t="s">
        <v>54</v>
      </c>
    </row>
    <row r="290" spans="1:6" x14ac:dyDescent="0.35">
      <c r="A290" t="s">
        <v>56</v>
      </c>
      <c r="B290" t="s">
        <v>77</v>
      </c>
      <c r="C290" t="s">
        <v>6</v>
      </c>
      <c r="D290" t="s">
        <v>57</v>
      </c>
      <c r="E290">
        <v>183718</v>
      </c>
      <c r="F290" t="s">
        <v>61</v>
      </c>
    </row>
    <row r="291" spans="1:6" x14ac:dyDescent="0.35">
      <c r="A291" t="s">
        <v>56</v>
      </c>
      <c r="B291" t="s">
        <v>77</v>
      </c>
      <c r="C291" t="s">
        <v>6</v>
      </c>
      <c r="D291" t="s">
        <v>59</v>
      </c>
      <c r="E291">
        <v>2471</v>
      </c>
      <c r="F291" t="s">
        <v>61</v>
      </c>
    </row>
    <row r="292" spans="1:6" x14ac:dyDescent="0.35">
      <c r="A292" t="s">
        <v>56</v>
      </c>
      <c r="B292" t="s">
        <v>77</v>
      </c>
      <c r="C292" t="s">
        <v>6</v>
      </c>
      <c r="D292" t="s">
        <v>58</v>
      </c>
      <c r="E292">
        <v>360</v>
      </c>
      <c r="F292" t="s">
        <v>61</v>
      </c>
    </row>
    <row r="293" spans="1:6" x14ac:dyDescent="0.35">
      <c r="A293" t="s">
        <v>56</v>
      </c>
      <c r="B293" t="s">
        <v>77</v>
      </c>
      <c r="C293" t="s">
        <v>6</v>
      </c>
      <c r="D293" t="s">
        <v>60</v>
      </c>
      <c r="E293">
        <v>183718</v>
      </c>
      <c r="F293" t="s">
        <v>61</v>
      </c>
    </row>
    <row r="294" spans="1:6" x14ac:dyDescent="0.35">
      <c r="A294" t="s">
        <v>56</v>
      </c>
      <c r="B294" t="s">
        <v>77</v>
      </c>
      <c r="C294" t="s">
        <v>7</v>
      </c>
      <c r="D294" t="s">
        <v>57</v>
      </c>
      <c r="E294">
        <v>1</v>
      </c>
      <c r="F294" t="s">
        <v>62</v>
      </c>
    </row>
    <row r="295" spans="1:6" x14ac:dyDescent="0.35">
      <c r="A295" t="s">
        <v>56</v>
      </c>
      <c r="B295" t="s">
        <v>77</v>
      </c>
      <c r="C295" t="s">
        <v>7</v>
      </c>
      <c r="D295" t="s">
        <v>59</v>
      </c>
      <c r="E295">
        <v>1</v>
      </c>
      <c r="F295" t="s">
        <v>62</v>
      </c>
    </row>
    <row r="296" spans="1:6" x14ac:dyDescent="0.35">
      <c r="A296" t="s">
        <v>56</v>
      </c>
      <c r="B296" t="s">
        <v>77</v>
      </c>
      <c r="C296" t="s">
        <v>7</v>
      </c>
      <c r="D296" t="s">
        <v>58</v>
      </c>
      <c r="E296">
        <v>1</v>
      </c>
      <c r="F296" t="s">
        <v>62</v>
      </c>
    </row>
    <row r="297" spans="1:6" x14ac:dyDescent="0.35">
      <c r="A297" t="s">
        <v>56</v>
      </c>
      <c r="B297" t="s">
        <v>77</v>
      </c>
      <c r="C297" t="s">
        <v>7</v>
      </c>
      <c r="D297" t="s">
        <v>60</v>
      </c>
      <c r="E297">
        <v>1</v>
      </c>
      <c r="F297" t="s">
        <v>62</v>
      </c>
    </row>
    <row r="298" spans="1:6" x14ac:dyDescent="0.35">
      <c r="A298" t="s">
        <v>56</v>
      </c>
      <c r="B298" t="s">
        <v>77</v>
      </c>
      <c r="C298" t="s">
        <v>11</v>
      </c>
      <c r="D298" t="s">
        <v>57</v>
      </c>
      <c r="E298">
        <f>114/1000</f>
        <v>0.114</v>
      </c>
      <c r="F298" t="s">
        <v>63</v>
      </c>
    </row>
    <row r="299" spans="1:6" x14ac:dyDescent="0.35">
      <c r="A299" t="s">
        <v>56</v>
      </c>
      <c r="B299" t="s">
        <v>77</v>
      </c>
      <c r="C299" t="s">
        <v>11</v>
      </c>
      <c r="D299" t="s">
        <v>59</v>
      </c>
      <c r="E299">
        <f>0.22/1000</f>
        <v>2.2000000000000001E-4</v>
      </c>
      <c r="F299" t="s">
        <v>63</v>
      </c>
    </row>
    <row r="300" spans="1:6" x14ac:dyDescent="0.35">
      <c r="A300" t="s">
        <v>56</v>
      </c>
      <c r="B300" t="s">
        <v>77</v>
      </c>
      <c r="C300" t="s">
        <v>11</v>
      </c>
      <c r="D300" t="s">
        <v>58</v>
      </c>
      <c r="E300">
        <f>0.22/1000</f>
        <v>2.2000000000000001E-4</v>
      </c>
      <c r="F300" t="s">
        <v>63</v>
      </c>
    </row>
    <row r="301" spans="1:6" x14ac:dyDescent="0.35">
      <c r="A301" t="s">
        <v>56</v>
      </c>
      <c r="B301" t="s">
        <v>77</v>
      </c>
      <c r="C301" t="s">
        <v>11</v>
      </c>
      <c r="D301" t="s">
        <v>60</v>
      </c>
      <c r="E301">
        <f>114/1000</f>
        <v>0.114</v>
      </c>
      <c r="F301" t="s">
        <v>63</v>
      </c>
    </row>
    <row r="302" spans="1:6" x14ac:dyDescent="0.35">
      <c r="A302" t="s">
        <v>56</v>
      </c>
      <c r="B302" t="s">
        <v>77</v>
      </c>
      <c r="C302" t="s">
        <v>9</v>
      </c>
      <c r="D302" t="s">
        <v>69</v>
      </c>
      <c r="E302" s="3" t="s">
        <v>115</v>
      </c>
      <c r="F302" t="s">
        <v>114</v>
      </c>
    </row>
    <row r="303" spans="1:6" x14ac:dyDescent="0.35">
      <c r="A303" t="s">
        <v>56</v>
      </c>
      <c r="B303" t="s">
        <v>77</v>
      </c>
      <c r="C303" t="s">
        <v>9</v>
      </c>
      <c r="D303" t="s">
        <v>67</v>
      </c>
      <c r="E303" s="3" t="s">
        <v>115</v>
      </c>
      <c r="F303" t="s">
        <v>114</v>
      </c>
    </row>
    <row r="304" spans="1:6" x14ac:dyDescent="0.35">
      <c r="A304" t="s">
        <v>56</v>
      </c>
      <c r="B304" t="s">
        <v>77</v>
      </c>
      <c r="C304" t="s">
        <v>9</v>
      </c>
      <c r="D304" t="s">
        <v>65</v>
      </c>
      <c r="E304" s="3" t="s">
        <v>115</v>
      </c>
      <c r="F304" t="s">
        <v>114</v>
      </c>
    </row>
    <row r="305" spans="1:6" x14ac:dyDescent="0.35">
      <c r="A305" t="s">
        <v>56</v>
      </c>
      <c r="B305" t="s">
        <v>77</v>
      </c>
      <c r="C305" t="s">
        <v>9</v>
      </c>
      <c r="D305" t="s">
        <v>68</v>
      </c>
      <c r="E305" s="3" t="s">
        <v>115</v>
      </c>
      <c r="F305" t="s">
        <v>114</v>
      </c>
    </row>
    <row r="306" spans="1:6" x14ac:dyDescent="0.35">
      <c r="A306" t="s">
        <v>56</v>
      </c>
      <c r="B306" t="s">
        <v>77</v>
      </c>
      <c r="C306" t="s">
        <v>9</v>
      </c>
      <c r="D306" t="s">
        <v>66</v>
      </c>
      <c r="E306" s="3" t="s">
        <v>115</v>
      </c>
      <c r="F306" t="s">
        <v>114</v>
      </c>
    </row>
    <row r="307" spans="1:6" x14ac:dyDescent="0.35">
      <c r="A307" t="s">
        <v>56</v>
      </c>
      <c r="B307" t="s">
        <v>77</v>
      </c>
      <c r="C307" t="s">
        <v>8</v>
      </c>
      <c r="D307" t="s">
        <v>39</v>
      </c>
      <c r="E307">
        <v>1</v>
      </c>
      <c r="F307" t="s">
        <v>54</v>
      </c>
    </row>
    <row r="308" spans="1:6" x14ac:dyDescent="0.35">
      <c r="A308" t="s">
        <v>56</v>
      </c>
      <c r="B308" t="s">
        <v>77</v>
      </c>
      <c r="C308" t="s">
        <v>8</v>
      </c>
      <c r="D308" t="s">
        <v>70</v>
      </c>
      <c r="E308">
        <v>1</v>
      </c>
      <c r="F308" t="s">
        <v>54</v>
      </c>
    </row>
    <row r="309" spans="1:6" x14ac:dyDescent="0.35">
      <c r="A309" t="s">
        <v>56</v>
      </c>
      <c r="B309" t="s">
        <v>77</v>
      </c>
      <c r="C309" t="s">
        <v>8</v>
      </c>
      <c r="D309" t="s">
        <v>71</v>
      </c>
      <c r="E309">
        <v>1</v>
      </c>
      <c r="F309" t="s">
        <v>54</v>
      </c>
    </row>
    <row r="310" spans="1:6" x14ac:dyDescent="0.35">
      <c r="A310" t="s">
        <v>56</v>
      </c>
      <c r="B310" t="s">
        <v>77</v>
      </c>
      <c r="C310" t="s">
        <v>12</v>
      </c>
      <c r="D310" t="s">
        <v>39</v>
      </c>
      <c r="E310">
        <v>4.41</v>
      </c>
      <c r="F310" t="s">
        <v>63</v>
      </c>
    </row>
    <row r="311" spans="1:6" x14ac:dyDescent="0.35">
      <c r="A311" t="s">
        <v>56</v>
      </c>
      <c r="B311" t="s">
        <v>77</v>
      </c>
      <c r="C311" t="s">
        <v>12</v>
      </c>
      <c r="D311" t="s">
        <v>70</v>
      </c>
      <c r="E311">
        <v>1</v>
      </c>
      <c r="F311" t="s">
        <v>63</v>
      </c>
    </row>
    <row r="312" spans="1:6" x14ac:dyDescent="0.35">
      <c r="A312" t="s">
        <v>56</v>
      </c>
      <c r="B312" t="s">
        <v>77</v>
      </c>
      <c r="C312" t="s">
        <v>12</v>
      </c>
      <c r="D312" t="s">
        <v>71</v>
      </c>
      <c r="E312">
        <v>1.03</v>
      </c>
      <c r="F312" t="s">
        <v>63</v>
      </c>
    </row>
    <row r="313" spans="1:6" x14ac:dyDescent="0.35">
      <c r="A313" t="s">
        <v>56</v>
      </c>
      <c r="B313" t="s">
        <v>77</v>
      </c>
      <c r="C313" t="s">
        <v>10</v>
      </c>
      <c r="D313" t="s">
        <v>53</v>
      </c>
      <c r="E313">
        <v>1</v>
      </c>
      <c r="F313" t="s">
        <v>54</v>
      </c>
    </row>
  </sheetData>
  <sortState xmlns:xlrd2="http://schemas.microsoft.com/office/spreadsheetml/2017/richdata2" ref="A2:G313">
    <sortCondition ref="B1:B313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9C25-BB03-4F81-BF04-3441E556B5A5}">
  <dimension ref="A1:F16"/>
  <sheetViews>
    <sheetView zoomScale="130" zoomScaleNormal="130" workbookViewId="0">
      <selection activeCell="D13" sqref="D13"/>
    </sheetView>
  </sheetViews>
  <sheetFormatPr defaultColWidth="8.81640625" defaultRowHeight="14.5" x14ac:dyDescent="0.35"/>
  <cols>
    <col min="1" max="1" width="25.36328125" customWidth="1"/>
    <col min="3" max="3" width="19.81640625" customWidth="1"/>
  </cols>
  <sheetData>
    <row r="1" spans="1:6" x14ac:dyDescent="0.35">
      <c r="A1" t="s">
        <v>0</v>
      </c>
      <c r="B1" t="s">
        <v>24</v>
      </c>
      <c r="C1" t="s">
        <v>2</v>
      </c>
      <c r="D1" t="s">
        <v>25</v>
      </c>
      <c r="E1" t="s">
        <v>26</v>
      </c>
      <c r="F1" t="s">
        <v>5</v>
      </c>
    </row>
    <row r="2" spans="1:6" x14ac:dyDescent="0.35">
      <c r="A2" t="s">
        <v>56</v>
      </c>
      <c r="B2" t="s">
        <v>15</v>
      </c>
      <c r="C2" t="s">
        <v>69</v>
      </c>
      <c r="D2">
        <v>0</v>
      </c>
    </row>
    <row r="3" spans="1:6" x14ac:dyDescent="0.35">
      <c r="A3" t="s">
        <v>56</v>
      </c>
      <c r="B3" t="s">
        <v>15</v>
      </c>
      <c r="C3" t="s">
        <v>65</v>
      </c>
      <c r="D3">
        <v>1</v>
      </c>
    </row>
    <row r="4" spans="1:6" x14ac:dyDescent="0.35">
      <c r="A4" t="s">
        <v>56</v>
      </c>
      <c r="B4" t="s">
        <v>15</v>
      </c>
      <c r="C4" t="s">
        <v>66</v>
      </c>
      <c r="D4">
        <v>2</v>
      </c>
    </row>
    <row r="5" spans="1:6" x14ac:dyDescent="0.35">
      <c r="A5" t="s">
        <v>56</v>
      </c>
      <c r="B5" t="s">
        <v>15</v>
      </c>
      <c r="C5" t="s">
        <v>67</v>
      </c>
      <c r="D5">
        <v>3</v>
      </c>
    </row>
    <row r="6" spans="1:6" x14ac:dyDescent="0.35">
      <c r="A6" t="s">
        <v>56</v>
      </c>
      <c r="B6" t="s">
        <v>15</v>
      </c>
      <c r="C6" t="s">
        <v>68</v>
      </c>
      <c r="D6">
        <v>4</v>
      </c>
    </row>
    <row r="7" spans="1:6" x14ac:dyDescent="0.35">
      <c r="A7" t="s">
        <v>56</v>
      </c>
      <c r="B7" t="s">
        <v>6</v>
      </c>
      <c r="C7" t="s">
        <v>57</v>
      </c>
      <c r="D7">
        <v>0</v>
      </c>
    </row>
    <row r="8" spans="1:6" x14ac:dyDescent="0.35">
      <c r="A8" t="s">
        <v>56</v>
      </c>
      <c r="B8" t="s">
        <v>6</v>
      </c>
      <c r="C8" t="s">
        <v>59</v>
      </c>
      <c r="D8">
        <v>1</v>
      </c>
    </row>
    <row r="9" spans="1:6" x14ac:dyDescent="0.35">
      <c r="A9" t="s">
        <v>56</v>
      </c>
      <c r="B9" t="s">
        <v>6</v>
      </c>
      <c r="C9" t="s">
        <v>58</v>
      </c>
      <c r="D9">
        <v>2</v>
      </c>
    </row>
    <row r="10" spans="1:6" x14ac:dyDescent="0.35">
      <c r="A10" t="s">
        <v>56</v>
      </c>
      <c r="B10" t="s">
        <v>6</v>
      </c>
      <c r="C10" t="s">
        <v>60</v>
      </c>
      <c r="D10">
        <v>3</v>
      </c>
    </row>
    <row r="11" spans="1:6" x14ac:dyDescent="0.35">
      <c r="A11" t="s">
        <v>56</v>
      </c>
      <c r="B11" t="s">
        <v>28</v>
      </c>
      <c r="C11" t="s">
        <v>29</v>
      </c>
      <c r="D11">
        <v>0</v>
      </c>
      <c r="E11" t="s">
        <v>29</v>
      </c>
    </row>
    <row r="12" spans="1:6" x14ac:dyDescent="0.35">
      <c r="A12" t="s">
        <v>56</v>
      </c>
      <c r="B12" t="s">
        <v>28</v>
      </c>
      <c r="C12" t="s">
        <v>31</v>
      </c>
      <c r="D12">
        <v>1</v>
      </c>
      <c r="E12" t="s">
        <v>32</v>
      </c>
    </row>
    <row r="13" spans="1:6" x14ac:dyDescent="0.35">
      <c r="A13" t="s">
        <v>56</v>
      </c>
      <c r="B13" t="s">
        <v>28</v>
      </c>
      <c r="C13" t="s">
        <v>30</v>
      </c>
      <c r="D13">
        <v>2</v>
      </c>
      <c r="E13" t="s">
        <v>104</v>
      </c>
    </row>
    <row r="14" spans="1:6" x14ac:dyDescent="0.35">
      <c r="A14" t="s">
        <v>56</v>
      </c>
      <c r="B14" t="s">
        <v>27</v>
      </c>
      <c r="C14" t="s">
        <v>39</v>
      </c>
      <c r="D14">
        <v>0</v>
      </c>
      <c r="E14" t="s">
        <v>72</v>
      </c>
    </row>
    <row r="15" spans="1:6" x14ac:dyDescent="0.35">
      <c r="A15" t="s">
        <v>56</v>
      </c>
      <c r="B15" t="s">
        <v>27</v>
      </c>
      <c r="C15" t="s">
        <v>70</v>
      </c>
      <c r="D15">
        <v>1</v>
      </c>
      <c r="E15" t="s">
        <v>73</v>
      </c>
    </row>
    <row r="16" spans="1:6" x14ac:dyDescent="0.35">
      <c r="A16" t="s">
        <v>56</v>
      </c>
      <c r="B16" t="s">
        <v>27</v>
      </c>
      <c r="C16" t="s">
        <v>71</v>
      </c>
      <c r="D16">
        <v>2</v>
      </c>
      <c r="E16" t="s">
        <v>73</v>
      </c>
    </row>
  </sheetData>
  <sortState xmlns:xlrd2="http://schemas.microsoft.com/office/spreadsheetml/2017/richdata2" ref="A2:F19">
    <sortCondition ref="A1:A19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E9135-CC92-4566-BC27-870212F980DF}">
  <dimension ref="A1:H2"/>
  <sheetViews>
    <sheetView zoomScale="115" zoomScaleNormal="115" workbookViewId="0">
      <selection activeCell="F16" sqref="F16"/>
    </sheetView>
  </sheetViews>
  <sheetFormatPr defaultColWidth="8.81640625" defaultRowHeight="14.5" x14ac:dyDescent="0.35"/>
  <cols>
    <col min="1" max="1" width="24.453125" customWidth="1"/>
    <col min="4" max="4" width="10" customWidth="1"/>
  </cols>
  <sheetData>
    <row r="1" spans="1:8" x14ac:dyDescent="0.35">
      <c r="A1" t="s">
        <v>0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5</v>
      </c>
    </row>
    <row r="2" spans="1:8" x14ac:dyDescent="0.35">
      <c r="A2" t="s">
        <v>56</v>
      </c>
      <c r="B2" t="s">
        <v>19</v>
      </c>
      <c r="C2" t="s">
        <v>56</v>
      </c>
      <c r="D2" t="s">
        <v>20</v>
      </c>
      <c r="E2" t="s">
        <v>21</v>
      </c>
      <c r="F2" t="s">
        <v>22</v>
      </c>
      <c r="G2" t="s">
        <v>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DDB52-2793-4513-A7DB-EE354AA78557}">
  <dimension ref="A1:D14"/>
  <sheetViews>
    <sheetView zoomScale="115" zoomScaleNormal="115" workbookViewId="0">
      <selection activeCell="D13" sqref="D13"/>
    </sheetView>
  </sheetViews>
  <sheetFormatPr defaultColWidth="8.81640625" defaultRowHeight="14.5" x14ac:dyDescent="0.35"/>
  <cols>
    <col min="1" max="1" width="29" customWidth="1"/>
    <col min="2" max="2" width="25.36328125" customWidth="1"/>
    <col min="3" max="3" width="23.81640625" customWidth="1"/>
  </cols>
  <sheetData>
    <row r="1" spans="1:4" x14ac:dyDescent="0.35">
      <c r="A1" t="s">
        <v>33</v>
      </c>
      <c r="B1" t="s">
        <v>34</v>
      </c>
      <c r="C1" t="s">
        <v>35</v>
      </c>
      <c r="D1" t="s">
        <v>5</v>
      </c>
    </row>
    <row r="2" spans="1:4" x14ac:dyDescent="0.35">
      <c r="A2" t="s">
        <v>40</v>
      </c>
      <c r="B2" t="s">
        <v>101</v>
      </c>
      <c r="C2" t="s">
        <v>38</v>
      </c>
    </row>
    <row r="3" spans="1:4" x14ac:dyDescent="0.35">
      <c r="A3" t="s">
        <v>103</v>
      </c>
      <c r="B3" t="s">
        <v>107</v>
      </c>
      <c r="C3" t="s">
        <v>82</v>
      </c>
    </row>
    <row r="4" spans="1:4" x14ac:dyDescent="0.35">
      <c r="A4" t="s">
        <v>102</v>
      </c>
      <c r="B4" t="s">
        <v>107</v>
      </c>
      <c r="C4" t="s">
        <v>81</v>
      </c>
    </row>
    <row r="5" spans="1:4" x14ac:dyDescent="0.35">
      <c r="A5" t="s">
        <v>41</v>
      </c>
      <c r="B5" t="s">
        <v>107</v>
      </c>
      <c r="C5" t="s">
        <v>80</v>
      </c>
    </row>
    <row r="6" spans="1:4" x14ac:dyDescent="0.35">
      <c r="A6" t="s">
        <v>103</v>
      </c>
      <c r="B6" t="s">
        <v>105</v>
      </c>
      <c r="C6" t="s">
        <v>76</v>
      </c>
    </row>
    <row r="7" spans="1:4" x14ac:dyDescent="0.35">
      <c r="A7" t="s">
        <v>102</v>
      </c>
      <c r="B7" t="s">
        <v>105</v>
      </c>
      <c r="C7" t="s">
        <v>75</v>
      </c>
    </row>
    <row r="8" spans="1:4" x14ac:dyDescent="0.35">
      <c r="A8" t="s">
        <v>41</v>
      </c>
      <c r="B8" t="s">
        <v>105</v>
      </c>
      <c r="C8" t="s">
        <v>74</v>
      </c>
    </row>
    <row r="9" spans="1:4" x14ac:dyDescent="0.35">
      <c r="A9" t="s">
        <v>103</v>
      </c>
      <c r="B9" t="s">
        <v>108</v>
      </c>
      <c r="C9" t="s">
        <v>85</v>
      </c>
    </row>
    <row r="10" spans="1:4" x14ac:dyDescent="0.35">
      <c r="A10" t="s">
        <v>102</v>
      </c>
      <c r="B10" t="s">
        <v>108</v>
      </c>
      <c r="C10" t="s">
        <v>84</v>
      </c>
    </row>
    <row r="11" spans="1:4" x14ac:dyDescent="0.35">
      <c r="A11" t="s">
        <v>41</v>
      </c>
      <c r="B11" t="s">
        <v>108</v>
      </c>
      <c r="C11" t="s">
        <v>83</v>
      </c>
    </row>
    <row r="12" spans="1:4" x14ac:dyDescent="0.35">
      <c r="A12" t="s">
        <v>103</v>
      </c>
      <c r="B12" t="s">
        <v>106</v>
      </c>
      <c r="C12" t="s">
        <v>79</v>
      </c>
    </row>
    <row r="13" spans="1:4" x14ac:dyDescent="0.35">
      <c r="A13" t="s">
        <v>102</v>
      </c>
      <c r="B13" t="s">
        <v>106</v>
      </c>
      <c r="C13" t="s">
        <v>78</v>
      </c>
    </row>
    <row r="14" spans="1:4" x14ac:dyDescent="0.35">
      <c r="A14" t="s">
        <v>41</v>
      </c>
      <c r="B14" t="s">
        <v>106</v>
      </c>
      <c r="C14" t="s">
        <v>77</v>
      </c>
    </row>
  </sheetData>
  <sortState xmlns:xlrd2="http://schemas.microsoft.com/office/spreadsheetml/2017/richdata2" ref="A1:D14">
    <sortCondition ref="B2:B14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60756-8727-469C-BF07-9640ADCA9D3D}">
  <dimension ref="A1:G144"/>
  <sheetViews>
    <sheetView topLeftCell="A13" zoomScaleNormal="100" workbookViewId="0">
      <selection activeCell="E27" sqref="E27"/>
    </sheetView>
  </sheetViews>
  <sheetFormatPr defaultColWidth="8.81640625" defaultRowHeight="14.5" x14ac:dyDescent="0.35"/>
  <cols>
    <col min="2" max="2" width="12.1796875" customWidth="1"/>
    <col min="3" max="3" width="19.6328125" customWidth="1"/>
    <col min="4" max="4" width="12.1796875" customWidth="1"/>
    <col min="5" max="5" width="39" customWidth="1"/>
  </cols>
  <sheetData>
    <row r="1" spans="1:7" x14ac:dyDescent="0.35">
      <c r="A1" t="s">
        <v>0</v>
      </c>
      <c r="B1" t="s">
        <v>35</v>
      </c>
      <c r="C1" t="s">
        <v>36</v>
      </c>
      <c r="D1" t="s">
        <v>25</v>
      </c>
      <c r="E1" t="s">
        <v>3</v>
      </c>
      <c r="F1" t="s">
        <v>4</v>
      </c>
      <c r="G1" t="s">
        <v>5</v>
      </c>
    </row>
    <row r="2" spans="1:7" x14ac:dyDescent="0.35">
      <c r="A2" t="s">
        <v>56</v>
      </c>
      <c r="B2" t="s">
        <v>38</v>
      </c>
      <c r="C2" t="s">
        <v>86</v>
      </c>
      <c r="D2">
        <v>0</v>
      </c>
      <c r="E2">
        <v>1</v>
      </c>
      <c r="F2">
        <v>1</v>
      </c>
      <c r="G2" t="s">
        <v>90</v>
      </c>
    </row>
    <row r="3" spans="1:7" x14ac:dyDescent="0.35">
      <c r="A3" t="s">
        <v>56</v>
      </c>
      <c r="B3" t="s">
        <v>38</v>
      </c>
      <c r="C3" t="s">
        <v>87</v>
      </c>
      <c r="D3">
        <v>1</v>
      </c>
      <c r="E3">
        <v>1</v>
      </c>
      <c r="F3">
        <v>1</v>
      </c>
      <c r="G3" t="s">
        <v>93</v>
      </c>
    </row>
    <row r="4" spans="1:7" x14ac:dyDescent="0.35">
      <c r="A4" t="s">
        <v>56</v>
      </c>
      <c r="B4" t="s">
        <v>38</v>
      </c>
      <c r="C4" t="s">
        <v>88</v>
      </c>
      <c r="D4">
        <v>2</v>
      </c>
      <c r="E4">
        <v>1</v>
      </c>
      <c r="F4">
        <v>1</v>
      </c>
      <c r="G4" t="s">
        <v>94</v>
      </c>
    </row>
    <row r="5" spans="1:7" x14ac:dyDescent="0.35">
      <c r="A5" t="s">
        <v>56</v>
      </c>
      <c r="B5" t="s">
        <v>38</v>
      </c>
      <c r="C5" t="s">
        <v>89</v>
      </c>
      <c r="D5">
        <v>3</v>
      </c>
      <c r="E5">
        <v>1</v>
      </c>
      <c r="F5">
        <v>1</v>
      </c>
      <c r="G5" t="s">
        <v>95</v>
      </c>
    </row>
    <row r="6" spans="1:7" x14ac:dyDescent="0.35">
      <c r="A6" t="s">
        <v>56</v>
      </c>
      <c r="B6" t="s">
        <v>38</v>
      </c>
      <c r="C6" t="s">
        <v>96</v>
      </c>
      <c r="D6">
        <v>4</v>
      </c>
      <c r="E6">
        <v>0.1216</v>
      </c>
      <c r="F6" t="s">
        <v>64</v>
      </c>
      <c r="G6" t="s">
        <v>42</v>
      </c>
    </row>
    <row r="7" spans="1:7" x14ac:dyDescent="0.35">
      <c r="A7" t="s">
        <v>56</v>
      </c>
      <c r="B7" t="s">
        <v>38</v>
      </c>
      <c r="C7" t="s">
        <v>47</v>
      </c>
      <c r="D7">
        <v>5</v>
      </c>
      <c r="E7" t="s">
        <v>110</v>
      </c>
      <c r="F7" t="s">
        <v>49</v>
      </c>
      <c r="G7" t="s">
        <v>91</v>
      </c>
    </row>
    <row r="8" spans="1:7" x14ac:dyDescent="0.35">
      <c r="A8" t="s">
        <v>56</v>
      </c>
      <c r="B8" t="s">
        <v>38</v>
      </c>
      <c r="C8" t="s">
        <v>48</v>
      </c>
      <c r="D8">
        <v>6</v>
      </c>
      <c r="E8" s="1">
        <v>68</v>
      </c>
      <c r="F8" t="s">
        <v>50</v>
      </c>
      <c r="G8" t="s">
        <v>92</v>
      </c>
    </row>
    <row r="9" spans="1:7" x14ac:dyDescent="0.35">
      <c r="A9" t="s">
        <v>56</v>
      </c>
      <c r="B9" t="s">
        <v>38</v>
      </c>
      <c r="C9" t="s">
        <v>51</v>
      </c>
      <c r="D9">
        <v>7</v>
      </c>
      <c r="E9" s="1">
        <v>1000</v>
      </c>
      <c r="F9" t="s">
        <v>52</v>
      </c>
      <c r="G9" t="s">
        <v>52</v>
      </c>
    </row>
    <row r="10" spans="1:7" x14ac:dyDescent="0.35">
      <c r="A10" t="s">
        <v>56</v>
      </c>
      <c r="B10" t="s">
        <v>38</v>
      </c>
      <c r="C10" t="s">
        <v>97</v>
      </c>
      <c r="D10">
        <v>8</v>
      </c>
      <c r="E10">
        <v>5.5500000000000001E-2</v>
      </c>
      <c r="F10" t="s">
        <v>99</v>
      </c>
      <c r="G10" t="s">
        <v>42</v>
      </c>
    </row>
    <row r="11" spans="1:7" x14ac:dyDescent="0.35">
      <c r="A11" t="s">
        <v>56</v>
      </c>
      <c r="B11" t="s">
        <v>38</v>
      </c>
      <c r="C11" t="s">
        <v>98</v>
      </c>
      <c r="D11">
        <v>9</v>
      </c>
      <c r="E11">
        <v>6.8699999999999997E-2</v>
      </c>
      <c r="F11" t="s">
        <v>100</v>
      </c>
      <c r="G11" t="s">
        <v>42</v>
      </c>
    </row>
    <row r="12" spans="1:7" x14ac:dyDescent="0.35">
      <c r="A12" s="2" t="s">
        <v>56</v>
      </c>
      <c r="B12" s="2" t="s">
        <v>38</v>
      </c>
      <c r="C12" s="2" t="s">
        <v>69</v>
      </c>
      <c r="D12" s="2">
        <v>10</v>
      </c>
      <c r="E12" s="2">
        <v>1</v>
      </c>
      <c r="F12" s="2">
        <v>1</v>
      </c>
      <c r="G12" s="2" t="s">
        <v>109</v>
      </c>
    </row>
    <row r="13" spans="1:7" x14ac:dyDescent="0.35">
      <c r="A13" t="s">
        <v>56</v>
      </c>
      <c r="B13" t="s">
        <v>82</v>
      </c>
      <c r="C13" t="s">
        <v>86</v>
      </c>
      <c r="D13">
        <v>0</v>
      </c>
      <c r="E13">
        <v>1</v>
      </c>
      <c r="F13">
        <v>1</v>
      </c>
      <c r="G13" t="s">
        <v>90</v>
      </c>
    </row>
    <row r="14" spans="1:7" x14ac:dyDescent="0.35">
      <c r="A14" t="s">
        <v>56</v>
      </c>
      <c r="B14" t="s">
        <v>82</v>
      </c>
      <c r="C14" t="s">
        <v>87</v>
      </c>
      <c r="D14">
        <v>1</v>
      </c>
      <c r="E14">
        <v>1</v>
      </c>
      <c r="F14">
        <v>1</v>
      </c>
      <c r="G14" t="s">
        <v>93</v>
      </c>
    </row>
    <row r="15" spans="1:7" x14ac:dyDescent="0.35">
      <c r="A15" t="s">
        <v>56</v>
      </c>
      <c r="B15" t="s">
        <v>82</v>
      </c>
      <c r="C15" t="s">
        <v>88</v>
      </c>
      <c r="D15">
        <v>2</v>
      </c>
      <c r="E15" t="s">
        <v>111</v>
      </c>
      <c r="F15">
        <v>1</v>
      </c>
      <c r="G15" t="s">
        <v>94</v>
      </c>
    </row>
    <row r="16" spans="1:7" x14ac:dyDescent="0.35">
      <c r="A16" t="s">
        <v>56</v>
      </c>
      <c r="B16" t="s">
        <v>82</v>
      </c>
      <c r="C16" t="s">
        <v>89</v>
      </c>
      <c r="D16">
        <v>3</v>
      </c>
      <c r="E16">
        <v>1</v>
      </c>
      <c r="F16">
        <v>1</v>
      </c>
      <c r="G16" t="s">
        <v>95</v>
      </c>
    </row>
    <row r="17" spans="1:7" x14ac:dyDescent="0.35">
      <c r="A17" t="s">
        <v>56</v>
      </c>
      <c r="B17" t="s">
        <v>82</v>
      </c>
      <c r="C17" t="s">
        <v>96</v>
      </c>
      <c r="D17">
        <v>4</v>
      </c>
      <c r="E17">
        <v>0.1216</v>
      </c>
      <c r="F17" t="s">
        <v>64</v>
      </c>
      <c r="G17" t="s">
        <v>42</v>
      </c>
    </row>
    <row r="18" spans="1:7" x14ac:dyDescent="0.35">
      <c r="A18" t="s">
        <v>56</v>
      </c>
      <c r="B18" t="s">
        <v>82</v>
      </c>
      <c r="C18" t="s">
        <v>47</v>
      </c>
      <c r="D18">
        <v>5</v>
      </c>
      <c r="E18" t="s">
        <v>55</v>
      </c>
      <c r="F18" t="s">
        <v>49</v>
      </c>
      <c r="G18" t="s">
        <v>91</v>
      </c>
    </row>
    <row r="19" spans="1:7" x14ac:dyDescent="0.35">
      <c r="A19" t="s">
        <v>56</v>
      </c>
      <c r="B19" t="s">
        <v>82</v>
      </c>
      <c r="C19" t="s">
        <v>48</v>
      </c>
      <c r="D19">
        <v>6</v>
      </c>
      <c r="E19" s="1">
        <v>68</v>
      </c>
      <c r="F19" t="s">
        <v>50</v>
      </c>
      <c r="G19" t="s">
        <v>92</v>
      </c>
    </row>
    <row r="20" spans="1:7" x14ac:dyDescent="0.35">
      <c r="A20" t="s">
        <v>56</v>
      </c>
      <c r="B20" t="s">
        <v>82</v>
      </c>
      <c r="C20" t="s">
        <v>51</v>
      </c>
      <c r="D20">
        <v>7</v>
      </c>
      <c r="E20" s="1">
        <v>1000</v>
      </c>
      <c r="F20" t="s">
        <v>52</v>
      </c>
      <c r="G20" t="s">
        <v>52</v>
      </c>
    </row>
    <row r="21" spans="1:7" x14ac:dyDescent="0.35">
      <c r="A21" t="s">
        <v>56</v>
      </c>
      <c r="B21" t="s">
        <v>82</v>
      </c>
      <c r="C21" t="s">
        <v>97</v>
      </c>
      <c r="D21">
        <v>8</v>
      </c>
      <c r="E21">
        <v>5.5500000000000001E-2</v>
      </c>
      <c r="F21" t="s">
        <v>99</v>
      </c>
      <c r="G21" t="s">
        <v>42</v>
      </c>
    </row>
    <row r="22" spans="1:7" x14ac:dyDescent="0.35">
      <c r="A22" t="s">
        <v>56</v>
      </c>
      <c r="B22" t="s">
        <v>82</v>
      </c>
      <c r="C22" t="s">
        <v>98</v>
      </c>
      <c r="D22">
        <v>9</v>
      </c>
      <c r="E22">
        <v>6.8699999999999997E-2</v>
      </c>
      <c r="F22" t="s">
        <v>100</v>
      </c>
      <c r="G22" t="s">
        <v>42</v>
      </c>
    </row>
    <row r="23" spans="1:7" x14ac:dyDescent="0.35">
      <c r="A23" s="2" t="s">
        <v>56</v>
      </c>
      <c r="B23" s="2" t="s">
        <v>82</v>
      </c>
      <c r="C23" s="2" t="s">
        <v>69</v>
      </c>
      <c r="D23" s="2">
        <v>10</v>
      </c>
      <c r="E23" s="2">
        <v>1</v>
      </c>
      <c r="F23" s="2">
        <v>1</v>
      </c>
      <c r="G23" s="2" t="s">
        <v>109</v>
      </c>
    </row>
    <row r="24" spans="1:7" x14ac:dyDescent="0.35">
      <c r="A24" t="s">
        <v>56</v>
      </c>
      <c r="B24" t="s">
        <v>76</v>
      </c>
      <c r="C24" t="s">
        <v>86</v>
      </c>
      <c r="D24">
        <v>0</v>
      </c>
      <c r="E24" t="s">
        <v>111</v>
      </c>
      <c r="F24">
        <v>1</v>
      </c>
      <c r="G24" t="s">
        <v>90</v>
      </c>
    </row>
    <row r="25" spans="1:7" x14ac:dyDescent="0.35">
      <c r="A25" t="s">
        <v>56</v>
      </c>
      <c r="B25" t="s">
        <v>76</v>
      </c>
      <c r="C25" t="s">
        <v>87</v>
      </c>
      <c r="D25">
        <v>1</v>
      </c>
      <c r="E25">
        <v>1</v>
      </c>
      <c r="F25">
        <v>1</v>
      </c>
      <c r="G25" t="s">
        <v>93</v>
      </c>
    </row>
    <row r="26" spans="1:7" x14ac:dyDescent="0.35">
      <c r="A26" t="s">
        <v>56</v>
      </c>
      <c r="B26" t="s">
        <v>76</v>
      </c>
      <c r="C26" t="s">
        <v>88</v>
      </c>
      <c r="D26">
        <v>2</v>
      </c>
      <c r="E26">
        <v>1</v>
      </c>
      <c r="F26">
        <v>1</v>
      </c>
      <c r="G26" t="s">
        <v>94</v>
      </c>
    </row>
    <row r="27" spans="1:7" x14ac:dyDescent="0.35">
      <c r="A27" t="s">
        <v>56</v>
      </c>
      <c r="B27" t="s">
        <v>76</v>
      </c>
      <c r="C27" t="s">
        <v>89</v>
      </c>
      <c r="D27">
        <v>3</v>
      </c>
      <c r="E27">
        <v>1</v>
      </c>
      <c r="F27">
        <v>1</v>
      </c>
      <c r="G27" t="s">
        <v>95</v>
      </c>
    </row>
    <row r="28" spans="1:7" x14ac:dyDescent="0.35">
      <c r="A28" t="s">
        <v>56</v>
      </c>
      <c r="B28" t="s">
        <v>76</v>
      </c>
      <c r="C28" t="s">
        <v>96</v>
      </c>
      <c r="D28">
        <v>4</v>
      </c>
      <c r="E28">
        <v>0.1216</v>
      </c>
      <c r="F28" t="s">
        <v>64</v>
      </c>
      <c r="G28" t="s">
        <v>42</v>
      </c>
    </row>
    <row r="29" spans="1:7" x14ac:dyDescent="0.35">
      <c r="A29" t="s">
        <v>56</v>
      </c>
      <c r="B29" t="s">
        <v>76</v>
      </c>
      <c r="C29" t="s">
        <v>47</v>
      </c>
      <c r="D29">
        <v>5</v>
      </c>
      <c r="E29" t="s">
        <v>55</v>
      </c>
      <c r="F29" t="s">
        <v>49</v>
      </c>
      <c r="G29" t="s">
        <v>91</v>
      </c>
    </row>
    <row r="30" spans="1:7" x14ac:dyDescent="0.35">
      <c r="A30" t="s">
        <v>56</v>
      </c>
      <c r="B30" t="s">
        <v>76</v>
      </c>
      <c r="C30" t="s">
        <v>48</v>
      </c>
      <c r="D30">
        <v>6</v>
      </c>
      <c r="E30" s="1">
        <v>68</v>
      </c>
      <c r="F30" t="s">
        <v>50</v>
      </c>
      <c r="G30" t="s">
        <v>92</v>
      </c>
    </row>
    <row r="31" spans="1:7" x14ac:dyDescent="0.35">
      <c r="A31" t="s">
        <v>56</v>
      </c>
      <c r="B31" t="s">
        <v>76</v>
      </c>
      <c r="C31" t="s">
        <v>51</v>
      </c>
      <c r="D31">
        <v>7</v>
      </c>
      <c r="E31" s="1">
        <v>1000</v>
      </c>
      <c r="F31" t="s">
        <v>52</v>
      </c>
      <c r="G31" t="s">
        <v>52</v>
      </c>
    </row>
    <row r="32" spans="1:7" x14ac:dyDescent="0.35">
      <c r="A32" t="s">
        <v>56</v>
      </c>
      <c r="B32" t="s">
        <v>76</v>
      </c>
      <c r="C32" t="s">
        <v>97</v>
      </c>
      <c r="D32">
        <v>8</v>
      </c>
      <c r="E32">
        <v>5.5500000000000001E-2</v>
      </c>
      <c r="F32" t="s">
        <v>99</v>
      </c>
      <c r="G32" t="s">
        <v>42</v>
      </c>
    </row>
    <row r="33" spans="1:7" x14ac:dyDescent="0.35">
      <c r="A33" t="s">
        <v>56</v>
      </c>
      <c r="B33" t="s">
        <v>76</v>
      </c>
      <c r="C33" t="s">
        <v>98</v>
      </c>
      <c r="D33">
        <v>9</v>
      </c>
      <c r="E33">
        <v>6.8699999999999997E-2</v>
      </c>
      <c r="F33" t="s">
        <v>100</v>
      </c>
      <c r="G33" t="s">
        <v>42</v>
      </c>
    </row>
    <row r="34" spans="1:7" x14ac:dyDescent="0.35">
      <c r="A34" s="2" t="s">
        <v>56</v>
      </c>
      <c r="B34" s="2" t="s">
        <v>76</v>
      </c>
      <c r="C34" s="2" t="s">
        <v>69</v>
      </c>
      <c r="D34" s="2">
        <v>10</v>
      </c>
      <c r="E34" s="2">
        <v>1</v>
      </c>
      <c r="F34" s="2">
        <v>1</v>
      </c>
      <c r="G34" s="2" t="s">
        <v>109</v>
      </c>
    </row>
    <row r="35" spans="1:7" x14ac:dyDescent="0.35">
      <c r="A35" t="s">
        <v>56</v>
      </c>
      <c r="B35" t="s">
        <v>85</v>
      </c>
      <c r="C35" t="s">
        <v>86</v>
      </c>
      <c r="D35">
        <v>0</v>
      </c>
      <c r="E35">
        <v>1</v>
      </c>
      <c r="F35">
        <v>1</v>
      </c>
      <c r="G35" t="s">
        <v>90</v>
      </c>
    </row>
    <row r="36" spans="1:7" x14ac:dyDescent="0.35">
      <c r="A36" t="s">
        <v>56</v>
      </c>
      <c r="B36" t="s">
        <v>85</v>
      </c>
      <c r="C36" t="s">
        <v>87</v>
      </c>
      <c r="D36">
        <v>1</v>
      </c>
      <c r="E36">
        <v>1</v>
      </c>
      <c r="F36">
        <v>1</v>
      </c>
      <c r="G36" t="s">
        <v>93</v>
      </c>
    </row>
    <row r="37" spans="1:7" x14ac:dyDescent="0.35">
      <c r="A37" t="s">
        <v>56</v>
      </c>
      <c r="B37" t="s">
        <v>85</v>
      </c>
      <c r="C37" t="s">
        <v>88</v>
      </c>
      <c r="D37">
        <v>2</v>
      </c>
      <c r="E37">
        <v>1</v>
      </c>
      <c r="F37">
        <v>1</v>
      </c>
      <c r="G37" t="s">
        <v>94</v>
      </c>
    </row>
    <row r="38" spans="1:7" x14ac:dyDescent="0.35">
      <c r="A38" t="s">
        <v>56</v>
      </c>
      <c r="B38" t="s">
        <v>85</v>
      </c>
      <c r="C38" t="s">
        <v>89</v>
      </c>
      <c r="D38">
        <v>3</v>
      </c>
      <c r="E38" t="s">
        <v>111</v>
      </c>
      <c r="F38">
        <v>1</v>
      </c>
      <c r="G38" t="s">
        <v>95</v>
      </c>
    </row>
    <row r="39" spans="1:7" x14ac:dyDescent="0.35">
      <c r="A39" t="s">
        <v>56</v>
      </c>
      <c r="B39" t="s">
        <v>85</v>
      </c>
      <c r="C39" t="s">
        <v>96</v>
      </c>
      <c r="D39">
        <v>4</v>
      </c>
      <c r="E39">
        <v>0.1216</v>
      </c>
      <c r="F39" t="s">
        <v>64</v>
      </c>
      <c r="G39" t="s">
        <v>42</v>
      </c>
    </row>
    <row r="40" spans="1:7" x14ac:dyDescent="0.35">
      <c r="A40" t="s">
        <v>56</v>
      </c>
      <c r="B40" t="s">
        <v>85</v>
      </c>
      <c r="C40" t="s">
        <v>47</v>
      </c>
      <c r="D40">
        <v>5</v>
      </c>
      <c r="E40" t="s">
        <v>55</v>
      </c>
      <c r="F40" t="s">
        <v>49</v>
      </c>
      <c r="G40" t="s">
        <v>91</v>
      </c>
    </row>
    <row r="41" spans="1:7" x14ac:dyDescent="0.35">
      <c r="A41" t="s">
        <v>56</v>
      </c>
      <c r="B41" t="s">
        <v>85</v>
      </c>
      <c r="C41" t="s">
        <v>48</v>
      </c>
      <c r="D41">
        <v>6</v>
      </c>
      <c r="E41" s="1">
        <v>68</v>
      </c>
      <c r="F41" t="s">
        <v>50</v>
      </c>
      <c r="G41" t="s">
        <v>92</v>
      </c>
    </row>
    <row r="42" spans="1:7" x14ac:dyDescent="0.35">
      <c r="A42" t="s">
        <v>56</v>
      </c>
      <c r="B42" t="s">
        <v>85</v>
      </c>
      <c r="C42" t="s">
        <v>51</v>
      </c>
      <c r="D42">
        <v>7</v>
      </c>
      <c r="E42" s="1">
        <v>1000</v>
      </c>
      <c r="F42" t="s">
        <v>52</v>
      </c>
      <c r="G42" t="s">
        <v>52</v>
      </c>
    </row>
    <row r="43" spans="1:7" x14ac:dyDescent="0.35">
      <c r="A43" t="s">
        <v>56</v>
      </c>
      <c r="B43" t="s">
        <v>85</v>
      </c>
      <c r="C43" t="s">
        <v>97</v>
      </c>
      <c r="D43">
        <v>8</v>
      </c>
      <c r="E43">
        <v>5.5500000000000001E-2</v>
      </c>
      <c r="F43" t="s">
        <v>99</v>
      </c>
      <c r="G43" t="s">
        <v>42</v>
      </c>
    </row>
    <row r="44" spans="1:7" x14ac:dyDescent="0.35">
      <c r="A44" t="s">
        <v>56</v>
      </c>
      <c r="B44" t="s">
        <v>85</v>
      </c>
      <c r="C44" t="s">
        <v>98</v>
      </c>
      <c r="D44">
        <v>9</v>
      </c>
      <c r="E44">
        <v>6.8699999999999997E-2</v>
      </c>
      <c r="F44" t="s">
        <v>100</v>
      </c>
      <c r="G44" t="s">
        <v>42</v>
      </c>
    </row>
    <row r="45" spans="1:7" x14ac:dyDescent="0.35">
      <c r="A45" s="2" t="s">
        <v>56</v>
      </c>
      <c r="B45" s="2" t="s">
        <v>85</v>
      </c>
      <c r="C45" s="2" t="s">
        <v>69</v>
      </c>
      <c r="D45" s="2">
        <v>10</v>
      </c>
      <c r="E45" s="2">
        <v>1</v>
      </c>
      <c r="F45" s="2">
        <v>1</v>
      </c>
      <c r="G45" s="2" t="s">
        <v>109</v>
      </c>
    </row>
    <row r="46" spans="1:7" x14ac:dyDescent="0.35">
      <c r="A46" t="s">
        <v>56</v>
      </c>
      <c r="B46" t="s">
        <v>79</v>
      </c>
      <c r="C46" t="s">
        <v>86</v>
      </c>
      <c r="D46">
        <v>0</v>
      </c>
      <c r="E46">
        <v>1</v>
      </c>
      <c r="F46">
        <v>1</v>
      </c>
      <c r="G46" t="s">
        <v>90</v>
      </c>
    </row>
    <row r="47" spans="1:7" x14ac:dyDescent="0.35">
      <c r="A47" t="s">
        <v>56</v>
      </c>
      <c r="B47" t="s">
        <v>79</v>
      </c>
      <c r="C47" t="s">
        <v>87</v>
      </c>
      <c r="D47">
        <v>1</v>
      </c>
      <c r="E47" t="s">
        <v>111</v>
      </c>
      <c r="F47">
        <v>1</v>
      </c>
      <c r="G47" t="s">
        <v>93</v>
      </c>
    </row>
    <row r="48" spans="1:7" x14ac:dyDescent="0.35">
      <c r="A48" t="s">
        <v>56</v>
      </c>
      <c r="B48" t="s">
        <v>79</v>
      </c>
      <c r="C48" t="s">
        <v>88</v>
      </c>
      <c r="D48">
        <v>2</v>
      </c>
      <c r="E48">
        <v>1</v>
      </c>
      <c r="F48">
        <v>1</v>
      </c>
      <c r="G48" t="s">
        <v>94</v>
      </c>
    </row>
    <row r="49" spans="1:7" x14ac:dyDescent="0.35">
      <c r="A49" t="s">
        <v>56</v>
      </c>
      <c r="B49" t="s">
        <v>79</v>
      </c>
      <c r="C49" t="s">
        <v>89</v>
      </c>
      <c r="D49">
        <v>3</v>
      </c>
      <c r="E49">
        <v>1</v>
      </c>
      <c r="F49">
        <v>1</v>
      </c>
      <c r="G49" t="s">
        <v>95</v>
      </c>
    </row>
    <row r="50" spans="1:7" x14ac:dyDescent="0.35">
      <c r="A50" t="s">
        <v>56</v>
      </c>
      <c r="B50" t="s">
        <v>79</v>
      </c>
      <c r="C50" t="s">
        <v>96</v>
      </c>
      <c r="D50">
        <v>4</v>
      </c>
      <c r="E50">
        <v>0.1216</v>
      </c>
      <c r="F50" t="s">
        <v>64</v>
      </c>
      <c r="G50" t="s">
        <v>42</v>
      </c>
    </row>
    <row r="51" spans="1:7" x14ac:dyDescent="0.35">
      <c r="A51" t="s">
        <v>56</v>
      </c>
      <c r="B51" t="s">
        <v>79</v>
      </c>
      <c r="C51" t="s">
        <v>47</v>
      </c>
      <c r="D51">
        <v>5</v>
      </c>
      <c r="E51" t="s">
        <v>55</v>
      </c>
      <c r="F51" t="s">
        <v>49</v>
      </c>
      <c r="G51" t="s">
        <v>91</v>
      </c>
    </row>
    <row r="52" spans="1:7" x14ac:dyDescent="0.35">
      <c r="A52" t="s">
        <v>56</v>
      </c>
      <c r="B52" t="s">
        <v>79</v>
      </c>
      <c r="C52" t="s">
        <v>48</v>
      </c>
      <c r="D52">
        <v>6</v>
      </c>
      <c r="E52" s="1">
        <v>68</v>
      </c>
      <c r="F52" t="s">
        <v>50</v>
      </c>
      <c r="G52" t="s">
        <v>92</v>
      </c>
    </row>
    <row r="53" spans="1:7" x14ac:dyDescent="0.35">
      <c r="A53" t="s">
        <v>56</v>
      </c>
      <c r="B53" t="s">
        <v>79</v>
      </c>
      <c r="C53" t="s">
        <v>51</v>
      </c>
      <c r="D53">
        <v>7</v>
      </c>
      <c r="E53" s="1">
        <v>1000</v>
      </c>
      <c r="F53" t="s">
        <v>52</v>
      </c>
      <c r="G53" t="s">
        <v>52</v>
      </c>
    </row>
    <row r="54" spans="1:7" x14ac:dyDescent="0.35">
      <c r="A54" t="s">
        <v>56</v>
      </c>
      <c r="B54" t="s">
        <v>79</v>
      </c>
      <c r="C54" t="s">
        <v>97</v>
      </c>
      <c r="D54">
        <v>8</v>
      </c>
      <c r="E54">
        <v>5.5500000000000001E-2</v>
      </c>
      <c r="F54" t="s">
        <v>99</v>
      </c>
      <c r="G54" t="s">
        <v>42</v>
      </c>
    </row>
    <row r="55" spans="1:7" x14ac:dyDescent="0.35">
      <c r="A55" t="s">
        <v>56</v>
      </c>
      <c r="B55" t="s">
        <v>79</v>
      </c>
      <c r="C55" t="s">
        <v>98</v>
      </c>
      <c r="D55">
        <v>9</v>
      </c>
      <c r="E55">
        <v>6.8699999999999997E-2</v>
      </c>
      <c r="F55" t="s">
        <v>100</v>
      </c>
      <c r="G55" t="s">
        <v>42</v>
      </c>
    </row>
    <row r="56" spans="1:7" x14ac:dyDescent="0.35">
      <c r="A56" s="2" t="s">
        <v>56</v>
      </c>
      <c r="B56" s="2" t="s">
        <v>79</v>
      </c>
      <c r="C56" s="2" t="s">
        <v>69</v>
      </c>
      <c r="D56" s="2">
        <v>10</v>
      </c>
      <c r="E56" s="2">
        <v>1</v>
      </c>
      <c r="F56" s="2">
        <v>1</v>
      </c>
      <c r="G56" s="2" t="s">
        <v>109</v>
      </c>
    </row>
    <row r="57" spans="1:7" x14ac:dyDescent="0.35">
      <c r="A57" t="s">
        <v>56</v>
      </c>
      <c r="B57" t="s">
        <v>81</v>
      </c>
      <c r="C57" t="s">
        <v>86</v>
      </c>
      <c r="D57">
        <v>0</v>
      </c>
      <c r="E57">
        <v>1</v>
      </c>
      <c r="F57">
        <v>1</v>
      </c>
      <c r="G57" t="s">
        <v>90</v>
      </c>
    </row>
    <row r="58" spans="1:7" x14ac:dyDescent="0.35">
      <c r="A58" t="s">
        <v>56</v>
      </c>
      <c r="B58" t="s">
        <v>81</v>
      </c>
      <c r="C58" t="s">
        <v>87</v>
      </c>
      <c r="D58">
        <v>1</v>
      </c>
      <c r="E58">
        <v>1</v>
      </c>
      <c r="F58">
        <v>1</v>
      </c>
      <c r="G58" t="s">
        <v>93</v>
      </c>
    </row>
    <row r="59" spans="1:7" x14ac:dyDescent="0.35">
      <c r="A59" t="s">
        <v>56</v>
      </c>
      <c r="B59" t="s">
        <v>81</v>
      </c>
      <c r="C59" t="s">
        <v>88</v>
      </c>
      <c r="D59">
        <v>2</v>
      </c>
      <c r="E59" t="s">
        <v>112</v>
      </c>
      <c r="F59">
        <v>1</v>
      </c>
      <c r="G59" t="s">
        <v>94</v>
      </c>
    </row>
    <row r="60" spans="1:7" x14ac:dyDescent="0.35">
      <c r="A60" t="s">
        <v>56</v>
      </c>
      <c r="B60" t="s">
        <v>81</v>
      </c>
      <c r="C60" t="s">
        <v>89</v>
      </c>
      <c r="D60">
        <v>3</v>
      </c>
      <c r="E60">
        <v>1</v>
      </c>
      <c r="F60">
        <v>1</v>
      </c>
      <c r="G60" t="s">
        <v>95</v>
      </c>
    </row>
    <row r="61" spans="1:7" x14ac:dyDescent="0.35">
      <c r="A61" t="s">
        <v>56</v>
      </c>
      <c r="B61" t="s">
        <v>81</v>
      </c>
      <c r="C61" t="s">
        <v>96</v>
      </c>
      <c r="D61">
        <v>4</v>
      </c>
      <c r="E61">
        <v>0.1216</v>
      </c>
      <c r="F61" t="s">
        <v>64</v>
      </c>
      <c r="G61" t="s">
        <v>42</v>
      </c>
    </row>
    <row r="62" spans="1:7" x14ac:dyDescent="0.35">
      <c r="A62" t="s">
        <v>56</v>
      </c>
      <c r="B62" t="s">
        <v>81</v>
      </c>
      <c r="C62" t="s">
        <v>47</v>
      </c>
      <c r="D62">
        <v>5</v>
      </c>
      <c r="E62" t="s">
        <v>55</v>
      </c>
      <c r="F62" t="s">
        <v>49</v>
      </c>
      <c r="G62" t="s">
        <v>91</v>
      </c>
    </row>
    <row r="63" spans="1:7" x14ac:dyDescent="0.35">
      <c r="A63" t="s">
        <v>56</v>
      </c>
      <c r="B63" t="s">
        <v>81</v>
      </c>
      <c r="C63" t="s">
        <v>48</v>
      </c>
      <c r="D63">
        <v>6</v>
      </c>
      <c r="E63" s="1">
        <v>68</v>
      </c>
      <c r="F63" t="s">
        <v>50</v>
      </c>
      <c r="G63" t="s">
        <v>92</v>
      </c>
    </row>
    <row r="64" spans="1:7" x14ac:dyDescent="0.35">
      <c r="A64" t="s">
        <v>56</v>
      </c>
      <c r="B64" t="s">
        <v>81</v>
      </c>
      <c r="C64" t="s">
        <v>51</v>
      </c>
      <c r="D64">
        <v>7</v>
      </c>
      <c r="E64" s="1">
        <v>1000</v>
      </c>
      <c r="F64" t="s">
        <v>52</v>
      </c>
      <c r="G64" t="s">
        <v>52</v>
      </c>
    </row>
    <row r="65" spans="1:7" x14ac:dyDescent="0.35">
      <c r="A65" t="s">
        <v>56</v>
      </c>
      <c r="B65" t="s">
        <v>81</v>
      </c>
      <c r="C65" t="s">
        <v>97</v>
      </c>
      <c r="D65">
        <v>8</v>
      </c>
      <c r="E65">
        <v>5.5500000000000001E-2</v>
      </c>
      <c r="F65" t="s">
        <v>99</v>
      </c>
      <c r="G65" t="s">
        <v>42</v>
      </c>
    </row>
    <row r="66" spans="1:7" x14ac:dyDescent="0.35">
      <c r="A66" t="s">
        <v>56</v>
      </c>
      <c r="B66" t="s">
        <v>81</v>
      </c>
      <c r="C66" t="s">
        <v>98</v>
      </c>
      <c r="D66">
        <v>9</v>
      </c>
      <c r="E66">
        <v>6.8699999999999997E-2</v>
      </c>
      <c r="F66" t="s">
        <v>100</v>
      </c>
      <c r="G66" t="s">
        <v>42</v>
      </c>
    </row>
    <row r="67" spans="1:7" x14ac:dyDescent="0.35">
      <c r="A67" s="2" t="s">
        <v>56</v>
      </c>
      <c r="B67" s="2" t="s">
        <v>81</v>
      </c>
      <c r="C67" s="2" t="s">
        <v>69</v>
      </c>
      <c r="D67" s="2">
        <v>10</v>
      </c>
      <c r="E67" s="2">
        <v>1</v>
      </c>
      <c r="F67" s="2">
        <v>1</v>
      </c>
      <c r="G67" s="2" t="s">
        <v>109</v>
      </c>
    </row>
    <row r="68" spans="1:7" x14ac:dyDescent="0.35">
      <c r="A68" t="s">
        <v>56</v>
      </c>
      <c r="B68" t="s">
        <v>75</v>
      </c>
      <c r="C68" t="s">
        <v>86</v>
      </c>
      <c r="D68">
        <v>0</v>
      </c>
      <c r="E68" t="s">
        <v>112</v>
      </c>
      <c r="F68">
        <v>1</v>
      </c>
      <c r="G68" t="s">
        <v>90</v>
      </c>
    </row>
    <row r="69" spans="1:7" x14ac:dyDescent="0.35">
      <c r="A69" t="s">
        <v>56</v>
      </c>
      <c r="B69" t="s">
        <v>75</v>
      </c>
      <c r="C69" t="s">
        <v>87</v>
      </c>
      <c r="D69">
        <v>1</v>
      </c>
      <c r="E69">
        <v>1</v>
      </c>
      <c r="F69">
        <v>1</v>
      </c>
      <c r="G69" t="s">
        <v>93</v>
      </c>
    </row>
    <row r="70" spans="1:7" x14ac:dyDescent="0.35">
      <c r="A70" t="s">
        <v>56</v>
      </c>
      <c r="B70" t="s">
        <v>75</v>
      </c>
      <c r="C70" t="s">
        <v>88</v>
      </c>
      <c r="D70">
        <v>2</v>
      </c>
      <c r="E70">
        <v>1</v>
      </c>
      <c r="F70">
        <v>1</v>
      </c>
      <c r="G70" t="s">
        <v>94</v>
      </c>
    </row>
    <row r="71" spans="1:7" x14ac:dyDescent="0.35">
      <c r="A71" t="s">
        <v>56</v>
      </c>
      <c r="B71" t="s">
        <v>75</v>
      </c>
      <c r="C71" t="s">
        <v>89</v>
      </c>
      <c r="D71">
        <v>3</v>
      </c>
      <c r="E71">
        <v>1</v>
      </c>
      <c r="F71">
        <v>1</v>
      </c>
      <c r="G71" t="s">
        <v>95</v>
      </c>
    </row>
    <row r="72" spans="1:7" x14ac:dyDescent="0.35">
      <c r="A72" t="s">
        <v>56</v>
      </c>
      <c r="B72" t="s">
        <v>75</v>
      </c>
      <c r="C72" t="s">
        <v>96</v>
      </c>
      <c r="D72">
        <v>4</v>
      </c>
      <c r="E72">
        <v>0.1216</v>
      </c>
      <c r="F72" t="s">
        <v>64</v>
      </c>
      <c r="G72" t="s">
        <v>42</v>
      </c>
    </row>
    <row r="73" spans="1:7" x14ac:dyDescent="0.35">
      <c r="A73" t="s">
        <v>56</v>
      </c>
      <c r="B73" t="s">
        <v>75</v>
      </c>
      <c r="C73" t="s">
        <v>47</v>
      </c>
      <c r="D73">
        <v>5</v>
      </c>
      <c r="E73" t="s">
        <v>55</v>
      </c>
      <c r="F73" t="s">
        <v>49</v>
      </c>
      <c r="G73" t="s">
        <v>91</v>
      </c>
    </row>
    <row r="74" spans="1:7" x14ac:dyDescent="0.35">
      <c r="A74" t="s">
        <v>56</v>
      </c>
      <c r="B74" t="s">
        <v>75</v>
      </c>
      <c r="C74" t="s">
        <v>48</v>
      </c>
      <c r="D74">
        <v>6</v>
      </c>
      <c r="E74" s="1">
        <v>68</v>
      </c>
      <c r="F74" t="s">
        <v>50</v>
      </c>
      <c r="G74" t="s">
        <v>92</v>
      </c>
    </row>
    <row r="75" spans="1:7" x14ac:dyDescent="0.35">
      <c r="A75" t="s">
        <v>56</v>
      </c>
      <c r="B75" t="s">
        <v>75</v>
      </c>
      <c r="C75" t="s">
        <v>51</v>
      </c>
      <c r="D75">
        <v>7</v>
      </c>
      <c r="E75" s="1">
        <v>1000</v>
      </c>
      <c r="F75" t="s">
        <v>52</v>
      </c>
      <c r="G75" t="s">
        <v>52</v>
      </c>
    </row>
    <row r="76" spans="1:7" x14ac:dyDescent="0.35">
      <c r="A76" t="s">
        <v>56</v>
      </c>
      <c r="B76" t="s">
        <v>75</v>
      </c>
      <c r="C76" t="s">
        <v>97</v>
      </c>
      <c r="D76">
        <v>8</v>
      </c>
      <c r="E76">
        <v>5.5500000000000001E-2</v>
      </c>
      <c r="F76" t="s">
        <v>99</v>
      </c>
      <c r="G76" t="s">
        <v>42</v>
      </c>
    </row>
    <row r="77" spans="1:7" x14ac:dyDescent="0.35">
      <c r="A77" t="s">
        <v>56</v>
      </c>
      <c r="B77" t="s">
        <v>75</v>
      </c>
      <c r="C77" t="s">
        <v>98</v>
      </c>
      <c r="D77">
        <v>9</v>
      </c>
      <c r="E77">
        <v>6.8699999999999997E-2</v>
      </c>
      <c r="F77" t="s">
        <v>100</v>
      </c>
      <c r="G77" t="s">
        <v>42</v>
      </c>
    </row>
    <row r="78" spans="1:7" x14ac:dyDescent="0.35">
      <c r="A78" s="2" t="s">
        <v>56</v>
      </c>
      <c r="B78" s="2" t="s">
        <v>75</v>
      </c>
      <c r="C78" s="2" t="s">
        <v>69</v>
      </c>
      <c r="D78" s="2">
        <v>10</v>
      </c>
      <c r="E78" s="2">
        <v>1</v>
      </c>
      <c r="F78" s="2">
        <v>1</v>
      </c>
      <c r="G78" s="2" t="s">
        <v>109</v>
      </c>
    </row>
    <row r="79" spans="1:7" x14ac:dyDescent="0.35">
      <c r="A79" t="s">
        <v>56</v>
      </c>
      <c r="B79" t="s">
        <v>84</v>
      </c>
      <c r="C79" t="s">
        <v>86</v>
      </c>
      <c r="D79">
        <v>0</v>
      </c>
      <c r="E79">
        <v>1</v>
      </c>
      <c r="F79">
        <v>1</v>
      </c>
      <c r="G79" t="s">
        <v>90</v>
      </c>
    </row>
    <row r="80" spans="1:7" x14ac:dyDescent="0.35">
      <c r="A80" t="s">
        <v>56</v>
      </c>
      <c r="B80" t="s">
        <v>84</v>
      </c>
      <c r="C80" t="s">
        <v>87</v>
      </c>
      <c r="D80">
        <v>1</v>
      </c>
      <c r="E80">
        <v>1</v>
      </c>
      <c r="F80">
        <v>1</v>
      </c>
      <c r="G80" t="s">
        <v>93</v>
      </c>
    </row>
    <row r="81" spans="1:7" x14ac:dyDescent="0.35">
      <c r="A81" t="s">
        <v>56</v>
      </c>
      <c r="B81" t="s">
        <v>84</v>
      </c>
      <c r="C81" t="s">
        <v>88</v>
      </c>
      <c r="D81">
        <v>2</v>
      </c>
      <c r="E81">
        <v>1</v>
      </c>
      <c r="F81">
        <v>1</v>
      </c>
      <c r="G81" t="s">
        <v>94</v>
      </c>
    </row>
    <row r="82" spans="1:7" x14ac:dyDescent="0.35">
      <c r="A82" t="s">
        <v>56</v>
      </c>
      <c r="B82" t="s">
        <v>84</v>
      </c>
      <c r="C82" t="s">
        <v>89</v>
      </c>
      <c r="D82">
        <v>3</v>
      </c>
      <c r="E82" t="s">
        <v>112</v>
      </c>
      <c r="F82">
        <v>1</v>
      </c>
      <c r="G82" t="s">
        <v>95</v>
      </c>
    </row>
    <row r="83" spans="1:7" x14ac:dyDescent="0.35">
      <c r="A83" t="s">
        <v>56</v>
      </c>
      <c r="B83" t="s">
        <v>84</v>
      </c>
      <c r="C83" t="s">
        <v>96</v>
      </c>
      <c r="D83">
        <v>4</v>
      </c>
      <c r="E83">
        <v>0.1216</v>
      </c>
      <c r="F83" t="s">
        <v>64</v>
      </c>
      <c r="G83" t="s">
        <v>42</v>
      </c>
    </row>
    <row r="84" spans="1:7" x14ac:dyDescent="0.35">
      <c r="A84" t="s">
        <v>56</v>
      </c>
      <c r="B84" t="s">
        <v>84</v>
      </c>
      <c r="C84" t="s">
        <v>47</v>
      </c>
      <c r="D84">
        <v>5</v>
      </c>
      <c r="E84" t="s">
        <v>55</v>
      </c>
      <c r="F84" t="s">
        <v>49</v>
      </c>
      <c r="G84" t="s">
        <v>91</v>
      </c>
    </row>
    <row r="85" spans="1:7" x14ac:dyDescent="0.35">
      <c r="A85" t="s">
        <v>56</v>
      </c>
      <c r="B85" t="s">
        <v>84</v>
      </c>
      <c r="C85" t="s">
        <v>48</v>
      </c>
      <c r="D85">
        <v>6</v>
      </c>
      <c r="E85" s="1">
        <v>68</v>
      </c>
      <c r="F85" t="s">
        <v>50</v>
      </c>
      <c r="G85" t="s">
        <v>92</v>
      </c>
    </row>
    <row r="86" spans="1:7" x14ac:dyDescent="0.35">
      <c r="A86" t="s">
        <v>56</v>
      </c>
      <c r="B86" t="s">
        <v>84</v>
      </c>
      <c r="C86" t="s">
        <v>51</v>
      </c>
      <c r="D86">
        <v>7</v>
      </c>
      <c r="E86" s="1">
        <v>1000</v>
      </c>
      <c r="F86" t="s">
        <v>52</v>
      </c>
      <c r="G86" t="s">
        <v>52</v>
      </c>
    </row>
    <row r="87" spans="1:7" x14ac:dyDescent="0.35">
      <c r="A87" t="s">
        <v>56</v>
      </c>
      <c r="B87" t="s">
        <v>84</v>
      </c>
      <c r="C87" t="s">
        <v>97</v>
      </c>
      <c r="D87">
        <v>8</v>
      </c>
      <c r="E87">
        <v>5.5500000000000001E-2</v>
      </c>
      <c r="F87" t="s">
        <v>99</v>
      </c>
      <c r="G87" t="s">
        <v>42</v>
      </c>
    </row>
    <row r="88" spans="1:7" x14ac:dyDescent="0.35">
      <c r="A88" t="s">
        <v>56</v>
      </c>
      <c r="B88" t="s">
        <v>84</v>
      </c>
      <c r="C88" t="s">
        <v>98</v>
      </c>
      <c r="D88">
        <v>9</v>
      </c>
      <c r="E88">
        <v>6.8699999999999997E-2</v>
      </c>
      <c r="F88" t="s">
        <v>100</v>
      </c>
      <c r="G88" t="s">
        <v>42</v>
      </c>
    </row>
    <row r="89" spans="1:7" x14ac:dyDescent="0.35">
      <c r="A89" s="2" t="s">
        <v>56</v>
      </c>
      <c r="B89" s="2" t="s">
        <v>84</v>
      </c>
      <c r="C89" s="2" t="s">
        <v>69</v>
      </c>
      <c r="D89" s="2">
        <v>10</v>
      </c>
      <c r="E89" s="2">
        <v>1</v>
      </c>
      <c r="F89" s="2">
        <v>1</v>
      </c>
      <c r="G89" s="2" t="s">
        <v>109</v>
      </c>
    </row>
    <row r="90" spans="1:7" x14ac:dyDescent="0.35">
      <c r="A90" t="s">
        <v>56</v>
      </c>
      <c r="B90" t="s">
        <v>78</v>
      </c>
      <c r="C90" t="s">
        <v>86</v>
      </c>
      <c r="D90">
        <v>0</v>
      </c>
      <c r="E90">
        <v>1</v>
      </c>
      <c r="F90">
        <v>1</v>
      </c>
      <c r="G90" t="s">
        <v>90</v>
      </c>
    </row>
    <row r="91" spans="1:7" x14ac:dyDescent="0.35">
      <c r="A91" t="s">
        <v>56</v>
      </c>
      <c r="B91" t="s">
        <v>78</v>
      </c>
      <c r="C91" t="s">
        <v>87</v>
      </c>
      <c r="D91">
        <v>1</v>
      </c>
      <c r="E91" t="s">
        <v>112</v>
      </c>
      <c r="F91">
        <v>1</v>
      </c>
      <c r="G91" t="s">
        <v>93</v>
      </c>
    </row>
    <row r="92" spans="1:7" x14ac:dyDescent="0.35">
      <c r="A92" t="s">
        <v>56</v>
      </c>
      <c r="B92" t="s">
        <v>78</v>
      </c>
      <c r="C92" t="s">
        <v>88</v>
      </c>
      <c r="D92">
        <v>2</v>
      </c>
      <c r="E92">
        <v>1</v>
      </c>
      <c r="F92">
        <v>1</v>
      </c>
      <c r="G92" t="s">
        <v>94</v>
      </c>
    </row>
    <row r="93" spans="1:7" x14ac:dyDescent="0.35">
      <c r="A93" t="s">
        <v>56</v>
      </c>
      <c r="B93" t="s">
        <v>78</v>
      </c>
      <c r="C93" t="s">
        <v>89</v>
      </c>
      <c r="D93">
        <v>3</v>
      </c>
      <c r="E93">
        <v>1</v>
      </c>
      <c r="F93">
        <v>1</v>
      </c>
      <c r="G93" t="s">
        <v>95</v>
      </c>
    </row>
    <row r="94" spans="1:7" x14ac:dyDescent="0.35">
      <c r="A94" t="s">
        <v>56</v>
      </c>
      <c r="B94" t="s">
        <v>78</v>
      </c>
      <c r="C94" t="s">
        <v>96</v>
      </c>
      <c r="D94">
        <v>4</v>
      </c>
      <c r="E94">
        <v>0.1216</v>
      </c>
      <c r="F94" t="s">
        <v>64</v>
      </c>
      <c r="G94" t="s">
        <v>42</v>
      </c>
    </row>
    <row r="95" spans="1:7" x14ac:dyDescent="0.35">
      <c r="A95" t="s">
        <v>56</v>
      </c>
      <c r="B95" t="s">
        <v>78</v>
      </c>
      <c r="C95" t="s">
        <v>47</v>
      </c>
      <c r="D95">
        <v>5</v>
      </c>
      <c r="E95" t="s">
        <v>55</v>
      </c>
      <c r="F95" t="s">
        <v>49</v>
      </c>
      <c r="G95" t="s">
        <v>91</v>
      </c>
    </row>
    <row r="96" spans="1:7" x14ac:dyDescent="0.35">
      <c r="A96" t="s">
        <v>56</v>
      </c>
      <c r="B96" t="s">
        <v>78</v>
      </c>
      <c r="C96" t="s">
        <v>48</v>
      </c>
      <c r="D96">
        <v>6</v>
      </c>
      <c r="E96" s="1">
        <v>68</v>
      </c>
      <c r="F96" t="s">
        <v>50</v>
      </c>
      <c r="G96" t="s">
        <v>92</v>
      </c>
    </row>
    <row r="97" spans="1:7" x14ac:dyDescent="0.35">
      <c r="A97" t="s">
        <v>56</v>
      </c>
      <c r="B97" t="s">
        <v>78</v>
      </c>
      <c r="C97" t="s">
        <v>51</v>
      </c>
      <c r="D97">
        <v>7</v>
      </c>
      <c r="E97" s="1">
        <v>1000</v>
      </c>
      <c r="F97" t="s">
        <v>52</v>
      </c>
      <c r="G97" t="s">
        <v>52</v>
      </c>
    </row>
    <row r="98" spans="1:7" x14ac:dyDescent="0.35">
      <c r="A98" t="s">
        <v>56</v>
      </c>
      <c r="B98" t="s">
        <v>78</v>
      </c>
      <c r="C98" t="s">
        <v>97</v>
      </c>
      <c r="D98">
        <v>8</v>
      </c>
      <c r="E98">
        <v>5.5500000000000001E-2</v>
      </c>
      <c r="F98" t="s">
        <v>99</v>
      </c>
      <c r="G98" t="s">
        <v>42</v>
      </c>
    </row>
    <row r="99" spans="1:7" x14ac:dyDescent="0.35">
      <c r="A99" t="s">
        <v>56</v>
      </c>
      <c r="B99" t="s">
        <v>78</v>
      </c>
      <c r="C99" t="s">
        <v>98</v>
      </c>
      <c r="D99">
        <v>9</v>
      </c>
      <c r="E99">
        <v>6.8699999999999997E-2</v>
      </c>
      <c r="F99" t="s">
        <v>100</v>
      </c>
      <c r="G99" t="s">
        <v>42</v>
      </c>
    </row>
    <row r="100" spans="1:7" x14ac:dyDescent="0.35">
      <c r="A100" s="2" t="s">
        <v>56</v>
      </c>
      <c r="B100" s="2" t="s">
        <v>78</v>
      </c>
      <c r="C100" s="2" t="s">
        <v>69</v>
      </c>
      <c r="D100" s="2">
        <v>10</v>
      </c>
      <c r="E100" s="2">
        <v>1</v>
      </c>
      <c r="F100" s="2">
        <v>1</v>
      </c>
      <c r="G100" s="2" t="s">
        <v>109</v>
      </c>
    </row>
    <row r="101" spans="1:7" x14ac:dyDescent="0.35">
      <c r="A101" t="s">
        <v>56</v>
      </c>
      <c r="B101" t="s">
        <v>80</v>
      </c>
      <c r="C101" t="s">
        <v>86</v>
      </c>
      <c r="D101">
        <v>0</v>
      </c>
      <c r="E101">
        <v>1</v>
      </c>
      <c r="F101">
        <v>1</v>
      </c>
      <c r="G101" t="s">
        <v>90</v>
      </c>
    </row>
    <row r="102" spans="1:7" x14ac:dyDescent="0.35">
      <c r="A102" t="s">
        <v>56</v>
      </c>
      <c r="B102" t="s">
        <v>80</v>
      </c>
      <c r="C102" t="s">
        <v>87</v>
      </c>
      <c r="D102">
        <v>1</v>
      </c>
      <c r="E102">
        <v>1</v>
      </c>
      <c r="F102">
        <v>1</v>
      </c>
      <c r="G102" t="s">
        <v>93</v>
      </c>
    </row>
    <row r="103" spans="1:7" x14ac:dyDescent="0.35">
      <c r="A103" t="s">
        <v>56</v>
      </c>
      <c r="B103" t="s">
        <v>80</v>
      </c>
      <c r="C103" t="s">
        <v>88</v>
      </c>
      <c r="D103">
        <v>2</v>
      </c>
      <c r="E103" t="s">
        <v>113</v>
      </c>
      <c r="F103">
        <v>1</v>
      </c>
      <c r="G103" t="s">
        <v>94</v>
      </c>
    </row>
    <row r="104" spans="1:7" x14ac:dyDescent="0.35">
      <c r="A104" t="s">
        <v>56</v>
      </c>
      <c r="B104" t="s">
        <v>80</v>
      </c>
      <c r="C104" t="s">
        <v>89</v>
      </c>
      <c r="D104">
        <v>3</v>
      </c>
      <c r="E104">
        <v>1</v>
      </c>
      <c r="F104">
        <v>1</v>
      </c>
      <c r="G104" t="s">
        <v>95</v>
      </c>
    </row>
    <row r="105" spans="1:7" x14ac:dyDescent="0.35">
      <c r="A105" t="s">
        <v>56</v>
      </c>
      <c r="B105" t="s">
        <v>80</v>
      </c>
      <c r="C105" t="s">
        <v>96</v>
      </c>
      <c r="D105">
        <v>4</v>
      </c>
      <c r="E105">
        <v>0.1216</v>
      </c>
      <c r="F105" t="s">
        <v>64</v>
      </c>
      <c r="G105" t="s">
        <v>42</v>
      </c>
    </row>
    <row r="106" spans="1:7" x14ac:dyDescent="0.35">
      <c r="A106" t="s">
        <v>56</v>
      </c>
      <c r="B106" t="s">
        <v>80</v>
      </c>
      <c r="C106" t="s">
        <v>47</v>
      </c>
      <c r="D106">
        <v>5</v>
      </c>
      <c r="E106" t="s">
        <v>55</v>
      </c>
      <c r="F106" t="s">
        <v>49</v>
      </c>
      <c r="G106" t="s">
        <v>91</v>
      </c>
    </row>
    <row r="107" spans="1:7" x14ac:dyDescent="0.35">
      <c r="A107" t="s">
        <v>56</v>
      </c>
      <c r="B107" t="s">
        <v>80</v>
      </c>
      <c r="C107" t="s">
        <v>48</v>
      </c>
      <c r="D107">
        <v>6</v>
      </c>
      <c r="E107" s="1">
        <v>68</v>
      </c>
      <c r="F107" t="s">
        <v>50</v>
      </c>
      <c r="G107" t="s">
        <v>92</v>
      </c>
    </row>
    <row r="108" spans="1:7" x14ac:dyDescent="0.35">
      <c r="A108" t="s">
        <v>56</v>
      </c>
      <c r="B108" t="s">
        <v>80</v>
      </c>
      <c r="C108" t="s">
        <v>51</v>
      </c>
      <c r="D108">
        <v>7</v>
      </c>
      <c r="E108" s="1">
        <v>1000</v>
      </c>
      <c r="F108" t="s">
        <v>52</v>
      </c>
      <c r="G108" t="s">
        <v>52</v>
      </c>
    </row>
    <row r="109" spans="1:7" x14ac:dyDescent="0.35">
      <c r="A109" t="s">
        <v>56</v>
      </c>
      <c r="B109" t="s">
        <v>80</v>
      </c>
      <c r="C109" t="s">
        <v>97</v>
      </c>
      <c r="D109">
        <v>8</v>
      </c>
      <c r="E109">
        <v>5.5500000000000001E-2</v>
      </c>
      <c r="F109" t="s">
        <v>99</v>
      </c>
      <c r="G109" t="s">
        <v>42</v>
      </c>
    </row>
    <row r="110" spans="1:7" x14ac:dyDescent="0.35">
      <c r="A110" t="s">
        <v>56</v>
      </c>
      <c r="B110" t="s">
        <v>80</v>
      </c>
      <c r="C110" t="s">
        <v>98</v>
      </c>
      <c r="D110">
        <v>9</v>
      </c>
      <c r="E110">
        <v>6.8699999999999997E-2</v>
      </c>
      <c r="F110" t="s">
        <v>100</v>
      </c>
      <c r="G110" t="s">
        <v>42</v>
      </c>
    </row>
    <row r="111" spans="1:7" x14ac:dyDescent="0.35">
      <c r="A111" s="2" t="s">
        <v>56</v>
      </c>
      <c r="B111" s="2" t="s">
        <v>80</v>
      </c>
      <c r="C111" s="2" t="s">
        <v>69</v>
      </c>
      <c r="D111" s="2">
        <v>10</v>
      </c>
      <c r="E111" s="2">
        <v>1</v>
      </c>
      <c r="F111" s="2">
        <v>1</v>
      </c>
      <c r="G111" s="2" t="s">
        <v>109</v>
      </c>
    </row>
    <row r="112" spans="1:7" x14ac:dyDescent="0.35">
      <c r="A112" t="s">
        <v>56</v>
      </c>
      <c r="B112" t="s">
        <v>74</v>
      </c>
      <c r="C112" t="s">
        <v>86</v>
      </c>
      <c r="D112">
        <v>0</v>
      </c>
      <c r="E112" t="s">
        <v>113</v>
      </c>
      <c r="F112">
        <v>1</v>
      </c>
      <c r="G112" t="s">
        <v>90</v>
      </c>
    </row>
    <row r="113" spans="1:7" x14ac:dyDescent="0.35">
      <c r="A113" t="s">
        <v>56</v>
      </c>
      <c r="B113" t="s">
        <v>74</v>
      </c>
      <c r="C113" t="s">
        <v>87</v>
      </c>
      <c r="D113">
        <v>1</v>
      </c>
      <c r="E113">
        <v>1</v>
      </c>
      <c r="F113">
        <v>1</v>
      </c>
      <c r="G113" t="s">
        <v>93</v>
      </c>
    </row>
    <row r="114" spans="1:7" x14ac:dyDescent="0.35">
      <c r="A114" t="s">
        <v>56</v>
      </c>
      <c r="B114" t="s">
        <v>74</v>
      </c>
      <c r="C114" t="s">
        <v>88</v>
      </c>
      <c r="D114">
        <v>2</v>
      </c>
      <c r="E114">
        <v>1</v>
      </c>
      <c r="F114">
        <v>1</v>
      </c>
      <c r="G114" t="s">
        <v>94</v>
      </c>
    </row>
    <row r="115" spans="1:7" x14ac:dyDescent="0.35">
      <c r="A115" t="s">
        <v>56</v>
      </c>
      <c r="B115" t="s">
        <v>74</v>
      </c>
      <c r="C115" t="s">
        <v>89</v>
      </c>
      <c r="D115">
        <v>3</v>
      </c>
      <c r="E115">
        <v>1</v>
      </c>
      <c r="F115">
        <v>1</v>
      </c>
      <c r="G115" t="s">
        <v>95</v>
      </c>
    </row>
    <row r="116" spans="1:7" x14ac:dyDescent="0.35">
      <c r="A116" t="s">
        <v>56</v>
      </c>
      <c r="B116" t="s">
        <v>74</v>
      </c>
      <c r="C116" t="s">
        <v>96</v>
      </c>
      <c r="D116">
        <v>4</v>
      </c>
      <c r="E116">
        <v>0.1216</v>
      </c>
      <c r="F116" t="s">
        <v>64</v>
      </c>
      <c r="G116" t="s">
        <v>42</v>
      </c>
    </row>
    <row r="117" spans="1:7" x14ac:dyDescent="0.35">
      <c r="A117" t="s">
        <v>56</v>
      </c>
      <c r="B117" t="s">
        <v>74</v>
      </c>
      <c r="C117" t="s">
        <v>47</v>
      </c>
      <c r="D117">
        <v>5</v>
      </c>
      <c r="E117" t="s">
        <v>55</v>
      </c>
      <c r="F117" t="s">
        <v>49</v>
      </c>
      <c r="G117" t="s">
        <v>91</v>
      </c>
    </row>
    <row r="118" spans="1:7" x14ac:dyDescent="0.35">
      <c r="A118" t="s">
        <v>56</v>
      </c>
      <c r="B118" t="s">
        <v>74</v>
      </c>
      <c r="C118" t="s">
        <v>48</v>
      </c>
      <c r="D118">
        <v>6</v>
      </c>
      <c r="E118" s="1">
        <v>68</v>
      </c>
      <c r="F118" t="s">
        <v>50</v>
      </c>
      <c r="G118" t="s">
        <v>92</v>
      </c>
    </row>
    <row r="119" spans="1:7" x14ac:dyDescent="0.35">
      <c r="A119" t="s">
        <v>56</v>
      </c>
      <c r="B119" t="s">
        <v>74</v>
      </c>
      <c r="C119" t="s">
        <v>51</v>
      </c>
      <c r="D119">
        <v>7</v>
      </c>
      <c r="E119" s="1">
        <v>1000</v>
      </c>
      <c r="F119" t="s">
        <v>52</v>
      </c>
      <c r="G119" t="s">
        <v>52</v>
      </c>
    </row>
    <row r="120" spans="1:7" x14ac:dyDescent="0.35">
      <c r="A120" t="s">
        <v>56</v>
      </c>
      <c r="B120" t="s">
        <v>74</v>
      </c>
      <c r="C120" t="s">
        <v>97</v>
      </c>
      <c r="D120">
        <v>8</v>
      </c>
      <c r="E120">
        <v>5.5500000000000001E-2</v>
      </c>
      <c r="F120" t="s">
        <v>99</v>
      </c>
      <c r="G120" t="s">
        <v>42</v>
      </c>
    </row>
    <row r="121" spans="1:7" x14ac:dyDescent="0.35">
      <c r="A121" t="s">
        <v>56</v>
      </c>
      <c r="B121" t="s">
        <v>74</v>
      </c>
      <c r="C121" t="s">
        <v>98</v>
      </c>
      <c r="D121">
        <v>9</v>
      </c>
      <c r="E121">
        <v>6.8699999999999997E-2</v>
      </c>
      <c r="F121" t="s">
        <v>100</v>
      </c>
      <c r="G121" t="s">
        <v>42</v>
      </c>
    </row>
    <row r="122" spans="1:7" x14ac:dyDescent="0.35">
      <c r="A122" s="2" t="s">
        <v>56</v>
      </c>
      <c r="B122" s="2" t="s">
        <v>74</v>
      </c>
      <c r="C122" s="2" t="s">
        <v>69</v>
      </c>
      <c r="D122" s="2">
        <v>10</v>
      </c>
      <c r="E122" s="2">
        <v>1</v>
      </c>
      <c r="F122" s="2">
        <v>1</v>
      </c>
      <c r="G122" s="2" t="s">
        <v>109</v>
      </c>
    </row>
    <row r="123" spans="1:7" x14ac:dyDescent="0.35">
      <c r="A123" t="s">
        <v>56</v>
      </c>
      <c r="B123" t="s">
        <v>83</v>
      </c>
      <c r="C123" t="s">
        <v>86</v>
      </c>
      <c r="D123">
        <v>0</v>
      </c>
      <c r="E123">
        <v>1</v>
      </c>
      <c r="F123">
        <v>1</v>
      </c>
      <c r="G123" t="s">
        <v>90</v>
      </c>
    </row>
    <row r="124" spans="1:7" x14ac:dyDescent="0.35">
      <c r="A124" t="s">
        <v>56</v>
      </c>
      <c r="B124" t="s">
        <v>83</v>
      </c>
      <c r="C124" t="s">
        <v>87</v>
      </c>
      <c r="D124">
        <v>1</v>
      </c>
      <c r="E124">
        <v>1</v>
      </c>
      <c r="F124">
        <v>1</v>
      </c>
      <c r="G124" t="s">
        <v>93</v>
      </c>
    </row>
    <row r="125" spans="1:7" x14ac:dyDescent="0.35">
      <c r="A125" t="s">
        <v>56</v>
      </c>
      <c r="B125" t="s">
        <v>83</v>
      </c>
      <c r="C125" t="s">
        <v>88</v>
      </c>
      <c r="D125">
        <v>2</v>
      </c>
      <c r="E125">
        <v>1</v>
      </c>
      <c r="F125">
        <v>1</v>
      </c>
      <c r="G125" t="s">
        <v>94</v>
      </c>
    </row>
    <row r="126" spans="1:7" x14ac:dyDescent="0.35">
      <c r="A126" t="s">
        <v>56</v>
      </c>
      <c r="B126" t="s">
        <v>83</v>
      </c>
      <c r="C126" t="s">
        <v>89</v>
      </c>
      <c r="D126">
        <v>3</v>
      </c>
      <c r="E126" t="s">
        <v>113</v>
      </c>
      <c r="F126">
        <v>1</v>
      </c>
      <c r="G126" t="s">
        <v>95</v>
      </c>
    </row>
    <row r="127" spans="1:7" x14ac:dyDescent="0.35">
      <c r="A127" t="s">
        <v>56</v>
      </c>
      <c r="B127" t="s">
        <v>83</v>
      </c>
      <c r="C127" t="s">
        <v>96</v>
      </c>
      <c r="D127">
        <v>4</v>
      </c>
      <c r="E127">
        <v>0.1216</v>
      </c>
      <c r="F127" t="s">
        <v>64</v>
      </c>
      <c r="G127" t="s">
        <v>42</v>
      </c>
    </row>
    <row r="128" spans="1:7" x14ac:dyDescent="0.35">
      <c r="A128" t="s">
        <v>56</v>
      </c>
      <c r="B128" t="s">
        <v>83</v>
      </c>
      <c r="C128" t="s">
        <v>47</v>
      </c>
      <c r="D128">
        <v>5</v>
      </c>
      <c r="E128" t="s">
        <v>55</v>
      </c>
      <c r="F128" t="s">
        <v>49</v>
      </c>
      <c r="G128" t="s">
        <v>91</v>
      </c>
    </row>
    <row r="129" spans="1:7" x14ac:dyDescent="0.35">
      <c r="A129" t="s">
        <v>56</v>
      </c>
      <c r="B129" t="s">
        <v>83</v>
      </c>
      <c r="C129" t="s">
        <v>48</v>
      </c>
      <c r="D129">
        <v>6</v>
      </c>
      <c r="E129" s="1">
        <v>68</v>
      </c>
      <c r="F129" t="s">
        <v>50</v>
      </c>
      <c r="G129" t="s">
        <v>92</v>
      </c>
    </row>
    <row r="130" spans="1:7" x14ac:dyDescent="0.35">
      <c r="A130" t="s">
        <v>56</v>
      </c>
      <c r="B130" t="s">
        <v>83</v>
      </c>
      <c r="C130" t="s">
        <v>51</v>
      </c>
      <c r="D130">
        <v>7</v>
      </c>
      <c r="E130" s="1">
        <v>1000</v>
      </c>
      <c r="F130" t="s">
        <v>52</v>
      </c>
      <c r="G130" t="s">
        <v>52</v>
      </c>
    </row>
    <row r="131" spans="1:7" x14ac:dyDescent="0.35">
      <c r="A131" t="s">
        <v>56</v>
      </c>
      <c r="B131" t="s">
        <v>83</v>
      </c>
      <c r="C131" t="s">
        <v>97</v>
      </c>
      <c r="D131">
        <v>8</v>
      </c>
      <c r="E131">
        <v>5.5500000000000001E-2</v>
      </c>
      <c r="F131" t="s">
        <v>99</v>
      </c>
      <c r="G131" t="s">
        <v>42</v>
      </c>
    </row>
    <row r="132" spans="1:7" x14ac:dyDescent="0.35">
      <c r="A132" t="s">
        <v>56</v>
      </c>
      <c r="B132" t="s">
        <v>83</v>
      </c>
      <c r="C132" t="s">
        <v>98</v>
      </c>
      <c r="D132">
        <v>9</v>
      </c>
      <c r="E132">
        <v>6.8699999999999997E-2</v>
      </c>
      <c r="F132" t="s">
        <v>100</v>
      </c>
      <c r="G132" t="s">
        <v>42</v>
      </c>
    </row>
    <row r="133" spans="1:7" x14ac:dyDescent="0.35">
      <c r="A133" s="2" t="s">
        <v>56</v>
      </c>
      <c r="B133" s="2" t="s">
        <v>83</v>
      </c>
      <c r="C133" s="2" t="s">
        <v>69</v>
      </c>
      <c r="D133" s="2">
        <v>10</v>
      </c>
      <c r="E133" s="2">
        <v>1</v>
      </c>
      <c r="F133" s="2">
        <v>1</v>
      </c>
      <c r="G133" s="2" t="s">
        <v>109</v>
      </c>
    </row>
    <row r="134" spans="1:7" x14ac:dyDescent="0.35">
      <c r="A134" t="s">
        <v>56</v>
      </c>
      <c r="B134" t="s">
        <v>77</v>
      </c>
      <c r="C134" t="s">
        <v>86</v>
      </c>
      <c r="D134">
        <v>0</v>
      </c>
      <c r="E134">
        <v>1</v>
      </c>
      <c r="F134">
        <v>1</v>
      </c>
      <c r="G134" t="s">
        <v>90</v>
      </c>
    </row>
    <row r="135" spans="1:7" x14ac:dyDescent="0.35">
      <c r="A135" t="s">
        <v>56</v>
      </c>
      <c r="B135" t="s">
        <v>77</v>
      </c>
      <c r="C135" t="s">
        <v>87</v>
      </c>
      <c r="D135">
        <v>1</v>
      </c>
      <c r="E135" t="s">
        <v>113</v>
      </c>
      <c r="F135">
        <v>1</v>
      </c>
      <c r="G135" t="s">
        <v>93</v>
      </c>
    </row>
    <row r="136" spans="1:7" x14ac:dyDescent="0.35">
      <c r="A136" t="s">
        <v>56</v>
      </c>
      <c r="B136" t="s">
        <v>77</v>
      </c>
      <c r="C136" t="s">
        <v>88</v>
      </c>
      <c r="D136">
        <v>2</v>
      </c>
      <c r="E136">
        <v>1</v>
      </c>
      <c r="F136">
        <v>1</v>
      </c>
      <c r="G136" t="s">
        <v>94</v>
      </c>
    </row>
    <row r="137" spans="1:7" x14ac:dyDescent="0.35">
      <c r="A137" t="s">
        <v>56</v>
      </c>
      <c r="B137" t="s">
        <v>77</v>
      </c>
      <c r="C137" t="s">
        <v>89</v>
      </c>
      <c r="D137">
        <v>3</v>
      </c>
      <c r="E137">
        <v>1</v>
      </c>
      <c r="F137">
        <v>1</v>
      </c>
      <c r="G137" t="s">
        <v>95</v>
      </c>
    </row>
    <row r="138" spans="1:7" x14ac:dyDescent="0.35">
      <c r="A138" t="s">
        <v>56</v>
      </c>
      <c r="B138" t="s">
        <v>77</v>
      </c>
      <c r="C138" t="s">
        <v>96</v>
      </c>
      <c r="D138">
        <v>4</v>
      </c>
      <c r="E138">
        <v>0.1216</v>
      </c>
      <c r="F138" t="s">
        <v>64</v>
      </c>
      <c r="G138" t="s">
        <v>42</v>
      </c>
    </row>
    <row r="139" spans="1:7" x14ac:dyDescent="0.35">
      <c r="A139" t="s">
        <v>56</v>
      </c>
      <c r="B139" t="s">
        <v>77</v>
      </c>
      <c r="C139" t="s">
        <v>47</v>
      </c>
      <c r="D139">
        <v>5</v>
      </c>
      <c r="E139" t="s">
        <v>55</v>
      </c>
      <c r="F139" t="s">
        <v>49</v>
      </c>
      <c r="G139" t="s">
        <v>91</v>
      </c>
    </row>
    <row r="140" spans="1:7" x14ac:dyDescent="0.35">
      <c r="A140" t="s">
        <v>56</v>
      </c>
      <c r="B140" t="s">
        <v>77</v>
      </c>
      <c r="C140" t="s">
        <v>48</v>
      </c>
      <c r="D140">
        <v>6</v>
      </c>
      <c r="E140" s="1">
        <v>68</v>
      </c>
      <c r="F140" t="s">
        <v>50</v>
      </c>
      <c r="G140" t="s">
        <v>92</v>
      </c>
    </row>
    <row r="141" spans="1:7" x14ac:dyDescent="0.35">
      <c r="A141" t="s">
        <v>56</v>
      </c>
      <c r="B141" t="s">
        <v>77</v>
      </c>
      <c r="C141" t="s">
        <v>51</v>
      </c>
      <c r="D141">
        <v>7</v>
      </c>
      <c r="E141" s="1">
        <v>1000</v>
      </c>
      <c r="F141" t="s">
        <v>52</v>
      </c>
      <c r="G141" t="s">
        <v>52</v>
      </c>
    </row>
    <row r="142" spans="1:7" x14ac:dyDescent="0.35">
      <c r="A142" t="s">
        <v>56</v>
      </c>
      <c r="B142" t="s">
        <v>77</v>
      </c>
      <c r="C142" t="s">
        <v>97</v>
      </c>
      <c r="D142">
        <v>8</v>
      </c>
      <c r="E142">
        <v>5.5500000000000001E-2</v>
      </c>
      <c r="F142" t="s">
        <v>99</v>
      </c>
      <c r="G142" t="s">
        <v>42</v>
      </c>
    </row>
    <row r="143" spans="1:7" x14ac:dyDescent="0.35">
      <c r="A143" t="s">
        <v>56</v>
      </c>
      <c r="B143" t="s">
        <v>77</v>
      </c>
      <c r="C143" t="s">
        <v>98</v>
      </c>
      <c r="D143">
        <v>9</v>
      </c>
      <c r="E143">
        <v>6.8699999999999997E-2</v>
      </c>
      <c r="F143" t="s">
        <v>100</v>
      </c>
      <c r="G143" t="s">
        <v>42</v>
      </c>
    </row>
    <row r="144" spans="1:7" x14ac:dyDescent="0.35">
      <c r="A144" s="2" t="s">
        <v>56</v>
      </c>
      <c r="B144" s="2" t="s">
        <v>77</v>
      </c>
      <c r="C144" s="2" t="s">
        <v>69</v>
      </c>
      <c r="D144" s="2">
        <v>10</v>
      </c>
      <c r="E144" s="2">
        <v>1</v>
      </c>
      <c r="F144" s="2">
        <v>1</v>
      </c>
      <c r="G144" s="2" t="s">
        <v>109</v>
      </c>
    </row>
  </sheetData>
  <sortState xmlns:xlrd2="http://schemas.microsoft.com/office/spreadsheetml/2017/richdata2" ref="A2:G145">
    <sortCondition ref="B122:B14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878E9-3E08-4F0E-93DC-70B8D93093AE}">
  <dimension ref="A1:E8"/>
  <sheetViews>
    <sheetView zoomScaleNormal="100" workbookViewId="0">
      <selection activeCell="H14" sqref="H14"/>
    </sheetView>
  </sheetViews>
  <sheetFormatPr defaultColWidth="8.81640625" defaultRowHeight="14.5" x14ac:dyDescent="0.35"/>
  <sheetData>
    <row r="1" spans="1:5" x14ac:dyDescent="0.35">
      <c r="A1" t="s">
        <v>0</v>
      </c>
      <c r="B1" t="s">
        <v>1</v>
      </c>
      <c r="C1" t="s">
        <v>2</v>
      </c>
      <c r="D1" t="s">
        <v>4</v>
      </c>
      <c r="E1" t="s">
        <v>5</v>
      </c>
    </row>
    <row r="2" spans="1:5" x14ac:dyDescent="0.35">
      <c r="A2" t="s">
        <v>56</v>
      </c>
      <c r="B2" t="s">
        <v>29</v>
      </c>
      <c r="C2" t="s">
        <v>29</v>
      </c>
      <c r="D2" t="s">
        <v>44</v>
      </c>
    </row>
    <row r="3" spans="1:5" x14ac:dyDescent="0.35">
      <c r="A3" t="s">
        <v>56</v>
      </c>
      <c r="B3" t="s">
        <v>27</v>
      </c>
      <c r="C3" t="s">
        <v>39</v>
      </c>
      <c r="D3" t="s">
        <v>43</v>
      </c>
    </row>
    <row r="4" spans="1:5" x14ac:dyDescent="0.35">
      <c r="A4" t="s">
        <v>56</v>
      </c>
      <c r="B4" t="s">
        <v>27</v>
      </c>
      <c r="C4" t="s">
        <v>70</v>
      </c>
      <c r="D4" t="s">
        <v>43</v>
      </c>
    </row>
    <row r="5" spans="1:5" x14ac:dyDescent="0.35">
      <c r="A5" t="s">
        <v>56</v>
      </c>
      <c r="B5" t="s">
        <v>27</v>
      </c>
      <c r="C5" t="s">
        <v>71</v>
      </c>
      <c r="D5" t="s">
        <v>43</v>
      </c>
    </row>
    <row r="6" spans="1:5" x14ac:dyDescent="0.35">
      <c r="A6" t="s">
        <v>56</v>
      </c>
      <c r="B6" t="s">
        <v>28</v>
      </c>
      <c r="C6" t="s">
        <v>29</v>
      </c>
      <c r="D6" t="s">
        <v>44</v>
      </c>
    </row>
    <row r="7" spans="1:5" x14ac:dyDescent="0.35">
      <c r="A7" t="s">
        <v>56</v>
      </c>
      <c r="B7" t="s">
        <v>28</v>
      </c>
      <c r="C7" t="s">
        <v>31</v>
      </c>
      <c r="D7" t="s">
        <v>46</v>
      </c>
    </row>
    <row r="8" spans="1:5" x14ac:dyDescent="0.35">
      <c r="A8" t="s">
        <v>56</v>
      </c>
      <c r="B8" t="s">
        <v>28</v>
      </c>
      <c r="C8" t="s">
        <v>30</v>
      </c>
      <c r="D8" t="s">
        <v>45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483DD-2255-49BA-BAE9-23EDEC3285E4}">
  <dimension ref="A1:D14"/>
  <sheetViews>
    <sheetView zoomScale="130" zoomScaleNormal="130" workbookViewId="0">
      <selection activeCell="E5" sqref="E5"/>
    </sheetView>
  </sheetViews>
  <sheetFormatPr defaultColWidth="8.81640625" defaultRowHeight="14.5" x14ac:dyDescent="0.35"/>
  <cols>
    <col min="1" max="1" width="16.453125" customWidth="1"/>
    <col min="2" max="2" width="25.1796875" customWidth="1"/>
    <col min="5" max="5" width="34" customWidth="1"/>
  </cols>
  <sheetData>
    <row r="1" spans="1:4" x14ac:dyDescent="0.35">
      <c r="A1" t="s">
        <v>34</v>
      </c>
      <c r="B1" t="s">
        <v>35</v>
      </c>
      <c r="C1" t="s">
        <v>37</v>
      </c>
      <c r="D1" t="s">
        <v>5</v>
      </c>
    </row>
    <row r="2" spans="1:4" x14ac:dyDescent="0.35">
      <c r="A2" t="s">
        <v>101</v>
      </c>
      <c r="B2" t="s">
        <v>38</v>
      </c>
      <c r="C2">
        <v>0</v>
      </c>
    </row>
    <row r="3" spans="1:4" x14ac:dyDescent="0.35">
      <c r="A3" t="s">
        <v>105</v>
      </c>
      <c r="B3" t="s">
        <v>74</v>
      </c>
      <c r="C3">
        <v>100000</v>
      </c>
    </row>
    <row r="4" spans="1:4" x14ac:dyDescent="0.35">
      <c r="A4" t="s">
        <v>105</v>
      </c>
      <c r="B4" t="s">
        <v>75</v>
      </c>
      <c r="C4">
        <v>500000</v>
      </c>
    </row>
    <row r="5" spans="1:4" x14ac:dyDescent="0.35">
      <c r="A5" t="s">
        <v>105</v>
      </c>
      <c r="B5" t="s">
        <v>76</v>
      </c>
      <c r="C5">
        <v>1000000</v>
      </c>
    </row>
    <row r="6" spans="1:4" x14ac:dyDescent="0.35">
      <c r="A6" t="s">
        <v>106</v>
      </c>
      <c r="B6" t="s">
        <v>77</v>
      </c>
      <c r="C6">
        <v>100000</v>
      </c>
    </row>
    <row r="7" spans="1:4" x14ac:dyDescent="0.35">
      <c r="A7" t="s">
        <v>106</v>
      </c>
      <c r="B7" t="s">
        <v>78</v>
      </c>
      <c r="C7">
        <v>500000</v>
      </c>
    </row>
    <row r="8" spans="1:4" x14ac:dyDescent="0.35">
      <c r="A8" t="s">
        <v>106</v>
      </c>
      <c r="B8" t="s">
        <v>79</v>
      </c>
      <c r="C8">
        <v>1000000</v>
      </c>
    </row>
    <row r="9" spans="1:4" x14ac:dyDescent="0.35">
      <c r="A9" t="s">
        <v>107</v>
      </c>
      <c r="B9" t="s">
        <v>80</v>
      </c>
      <c r="C9">
        <v>100000</v>
      </c>
    </row>
    <row r="10" spans="1:4" x14ac:dyDescent="0.35">
      <c r="A10" t="s">
        <v>107</v>
      </c>
      <c r="B10" t="s">
        <v>81</v>
      </c>
      <c r="C10">
        <v>500000</v>
      </c>
    </row>
    <row r="11" spans="1:4" x14ac:dyDescent="0.35">
      <c r="A11" t="s">
        <v>107</v>
      </c>
      <c r="B11" t="s">
        <v>82</v>
      </c>
      <c r="C11">
        <v>1000000</v>
      </c>
    </row>
    <row r="12" spans="1:4" x14ac:dyDescent="0.35">
      <c r="A12" t="s">
        <v>108</v>
      </c>
      <c r="B12" t="s">
        <v>83</v>
      </c>
      <c r="C12">
        <v>100000</v>
      </c>
    </row>
    <row r="13" spans="1:4" x14ac:dyDescent="0.35">
      <c r="A13" t="s">
        <v>108</v>
      </c>
      <c r="B13" t="s">
        <v>84</v>
      </c>
      <c r="C13">
        <v>500000</v>
      </c>
    </row>
    <row r="14" spans="1:4" x14ac:dyDescent="0.35">
      <c r="A14" t="s">
        <v>108</v>
      </c>
      <c r="B14" t="s">
        <v>85</v>
      </c>
      <c r="C14">
        <v>1000000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designs</vt:lpstr>
      <vt:lpstr>indices</vt:lpstr>
      <vt:lpstr>functions</vt:lpstr>
      <vt:lpstr>investments</vt:lpstr>
      <vt:lpstr>parameters</vt:lpstr>
      <vt:lpstr>results</vt:lpstr>
      <vt:lpstr>tranches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Rebecca Hanes</dc:creator>
  <cp:lastModifiedBy>Wright, Demelza</cp:lastModifiedBy>
  <dcterms:created xsi:type="dcterms:W3CDTF">2022-10-10T17:23:32Z</dcterms:created>
  <dcterms:modified xsi:type="dcterms:W3CDTF">2026-03-18T18:24:43Z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5965d95-ecc0-4720-b759-1f33c42ed7da_Enabled">
    <vt:lpwstr>true</vt:lpwstr>
  </property>
  <property fmtid="{D5CDD505-2E9C-101B-9397-08002B2CF9AE}" pid="3" name="MSIP_Label_95965d95-ecc0-4720-b759-1f33c42ed7da_SetDate">
    <vt:lpwstr>2024-04-16T19:12:34Z</vt:lpwstr>
  </property>
  <property fmtid="{D5CDD505-2E9C-101B-9397-08002B2CF9AE}" pid="4" name="MSIP_Label_95965d95-ecc0-4720-b759-1f33c42ed7da_Method">
    <vt:lpwstr>Standard</vt:lpwstr>
  </property>
  <property fmtid="{D5CDD505-2E9C-101B-9397-08002B2CF9AE}" pid="5" name="MSIP_Label_95965d95-ecc0-4720-b759-1f33c42ed7da_Name">
    <vt:lpwstr>General</vt:lpwstr>
  </property>
  <property fmtid="{D5CDD505-2E9C-101B-9397-08002B2CF9AE}" pid="6" name="MSIP_Label_95965d95-ecc0-4720-b759-1f33c42ed7da_SiteId">
    <vt:lpwstr>a0f29d7e-28cd-4f54-8442-7885aee7c080</vt:lpwstr>
  </property>
  <property fmtid="{D5CDD505-2E9C-101B-9397-08002B2CF9AE}" pid="7" name="MSIP_Label_95965d95-ecc0-4720-b759-1f33c42ed7da_ActionId">
    <vt:lpwstr>b61f7052-61bf-4236-87e6-bce631e35798</vt:lpwstr>
  </property>
  <property fmtid="{D5CDD505-2E9C-101B-9397-08002B2CF9AE}" pid="8" name="MSIP_Label_95965d95-ecc0-4720-b759-1f33c42ed7da_ContentBits">
    <vt:lpwstr>0</vt:lpwstr>
  </property>
</Properties>
</file>